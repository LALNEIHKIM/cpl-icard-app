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lalne\OneDrive\Desktop\icard-app\"/>
    </mc:Choice>
  </mc:AlternateContent>
  <xr:revisionPtr revIDLastSave="0" documentId="13_ncr:1_{863201A2-2F66-4716-AE29-7C1986B03DEE}" xr6:coauthVersionLast="47" xr6:coauthVersionMax="47" xr10:uidLastSave="{00000000-0000-0000-0000-000000000000}"/>
  <bookViews>
    <workbookView xWindow="-108" yWindow="-108" windowWidth="23256" windowHeight="12456" tabRatio="779" xr2:uid="{35249704-93DD-46CD-A91B-7B3A76021797}"/>
  </bookViews>
  <sheets>
    <sheet name="MASTERLIST" sheetId="28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12" i="28" l="1"/>
  <c r="T112" i="28" s="1"/>
  <c r="S111" i="28"/>
  <c r="T111" i="28" s="1"/>
  <c r="S110" i="28"/>
  <c r="T110" i="28" s="1"/>
  <c r="S109" i="28"/>
  <c r="T109" i="28" s="1"/>
  <c r="S108" i="28"/>
  <c r="T108" i="28" s="1"/>
  <c r="S107" i="28"/>
  <c r="T107" i="28" s="1"/>
  <c r="S106" i="28"/>
  <c r="T106" i="28" s="1"/>
  <c r="S105" i="28"/>
  <c r="T105" i="28" s="1"/>
  <c r="S104" i="28"/>
  <c r="T104" i="28" s="1"/>
  <c r="S103" i="28"/>
  <c r="T103" i="28" s="1"/>
  <c r="S102" i="28"/>
  <c r="T102" i="28" s="1"/>
  <c r="S101" i="28"/>
  <c r="T101" i="28" s="1"/>
  <c r="S100" i="28"/>
  <c r="T100" i="28" s="1"/>
  <c r="S99" i="28"/>
  <c r="T99" i="28" s="1"/>
  <c r="S98" i="28"/>
  <c r="T98" i="28" s="1"/>
  <c r="S97" i="28"/>
  <c r="T97" i="28" s="1"/>
  <c r="S96" i="28"/>
  <c r="T96" i="28" s="1"/>
  <c r="S95" i="28"/>
  <c r="T95" i="28" s="1"/>
  <c r="S94" i="28"/>
  <c r="T94" i="28" s="1"/>
  <c r="S93" i="28"/>
  <c r="T93" i="28" s="1"/>
  <c r="S92" i="28"/>
  <c r="T92" i="28" s="1"/>
  <c r="S91" i="28"/>
  <c r="T91" i="28" s="1"/>
  <c r="S90" i="28"/>
  <c r="T90" i="28" s="1"/>
  <c r="S89" i="28"/>
  <c r="T89" i="28" s="1"/>
  <c r="S88" i="28"/>
  <c r="T88" i="28" s="1"/>
  <c r="T87" i="28"/>
  <c r="S87" i="28"/>
  <c r="S86" i="28"/>
  <c r="T86" i="28" s="1"/>
  <c r="S85" i="28"/>
  <c r="T85" i="28" s="1"/>
  <c r="S84" i="28"/>
  <c r="T84" i="28" s="1"/>
  <c r="T83" i="28"/>
  <c r="S83" i="28"/>
  <c r="S82" i="28"/>
  <c r="T82" i="28" s="1"/>
  <c r="S81" i="28"/>
  <c r="T81" i="28" s="1"/>
  <c r="S80" i="28"/>
  <c r="T80" i="28" s="1"/>
  <c r="T79" i="28"/>
  <c r="S79" i="28"/>
  <c r="S78" i="28"/>
  <c r="T78" i="28" s="1"/>
  <c r="S77" i="28"/>
  <c r="T77" i="28" s="1"/>
  <c r="S76" i="28"/>
  <c r="T76" i="28" s="1"/>
  <c r="T75" i="28"/>
  <c r="S75" i="28"/>
  <c r="S74" i="28"/>
  <c r="T74" i="28" s="1"/>
  <c r="S73" i="28"/>
  <c r="T73" i="28" s="1"/>
  <c r="S72" i="28"/>
  <c r="T72" i="28" s="1"/>
  <c r="T71" i="28"/>
  <c r="S71" i="28"/>
  <c r="S70" i="28"/>
  <c r="T70" i="28" s="1"/>
  <c r="U109" i="28" l="1"/>
  <c r="U89" i="28"/>
  <c r="U112" i="28"/>
  <c r="S69" i="28" l="1"/>
  <c r="T69" i="28" s="1"/>
  <c r="S68" i="28"/>
  <c r="T68" i="28" s="1"/>
  <c r="S67" i="28"/>
  <c r="T67" i="28" s="1"/>
  <c r="S66" i="28"/>
  <c r="T66" i="28" s="1"/>
  <c r="S65" i="28"/>
  <c r="T65" i="28" s="1"/>
  <c r="S64" i="28"/>
  <c r="T64" i="28" s="1"/>
  <c r="S63" i="28"/>
  <c r="T63" i="28" s="1"/>
  <c r="S62" i="28"/>
  <c r="T62" i="28" s="1"/>
  <c r="S61" i="28"/>
  <c r="T61" i="28" s="1"/>
  <c r="S60" i="28"/>
  <c r="T60" i="28" s="1"/>
  <c r="S59" i="28"/>
  <c r="T59" i="28" s="1"/>
  <c r="S58" i="28"/>
  <c r="T58" i="28" s="1"/>
  <c r="S57" i="28"/>
  <c r="T57" i="28" s="1"/>
  <c r="S56" i="28"/>
  <c r="T56" i="28" s="1"/>
  <c r="S55" i="28"/>
  <c r="T55" i="28" s="1"/>
  <c r="S54" i="28"/>
  <c r="T54" i="28" s="1"/>
  <c r="S53" i="28"/>
  <c r="T53" i="28" s="1"/>
  <c r="S52" i="28"/>
  <c r="T52" i="28" s="1"/>
  <c r="S51" i="28"/>
  <c r="T51" i="28" s="1"/>
  <c r="S50" i="28"/>
  <c r="T50" i="28" s="1"/>
  <c r="S49" i="28"/>
  <c r="T49" i="28" s="1"/>
  <c r="S48" i="28"/>
  <c r="T48" i="28" s="1"/>
  <c r="S47" i="28"/>
  <c r="T47" i="28" s="1"/>
  <c r="S46" i="28"/>
  <c r="T46" i="28" s="1"/>
  <c r="S45" i="28"/>
  <c r="T45" i="28" s="1"/>
  <c r="S44" i="28"/>
  <c r="T44" i="28" s="1"/>
  <c r="S43" i="28"/>
  <c r="T43" i="28" s="1"/>
  <c r="S42" i="28"/>
  <c r="T42" i="28" s="1"/>
  <c r="S41" i="28"/>
  <c r="T41" i="28" s="1"/>
  <c r="S40" i="28"/>
  <c r="T40" i="28" s="1"/>
  <c r="S39" i="28"/>
  <c r="T39" i="28" s="1"/>
  <c r="S38" i="28"/>
  <c r="T38" i="28" s="1"/>
  <c r="S37" i="28"/>
  <c r="T37" i="28" s="1"/>
  <c r="S36" i="28"/>
  <c r="T36" i="28" s="1"/>
  <c r="S35" i="28"/>
  <c r="T35" i="28" s="1"/>
  <c r="S34" i="28"/>
  <c r="T34" i="28" s="1"/>
  <c r="S33" i="28"/>
  <c r="T33" i="28" s="1"/>
  <c r="S32" i="28"/>
  <c r="T32" i="28" s="1"/>
  <c r="S31" i="28"/>
  <c r="T31" i="28" s="1"/>
  <c r="S30" i="28"/>
  <c r="T30" i="28" s="1"/>
  <c r="S29" i="28"/>
  <c r="T29" i="28" s="1"/>
  <c r="S28" i="28"/>
  <c r="T28" i="28" s="1"/>
  <c r="S27" i="28"/>
  <c r="T27" i="28" s="1"/>
  <c r="S26" i="28"/>
  <c r="T26" i="28" s="1"/>
  <c r="S25" i="28"/>
  <c r="T25" i="28" s="1"/>
  <c r="S24" i="28"/>
  <c r="T24" i="28" s="1"/>
  <c r="S23" i="28"/>
  <c r="T23" i="28" s="1"/>
  <c r="S22" i="28"/>
  <c r="T22" i="28" s="1"/>
  <c r="S21" i="28"/>
  <c r="T21" i="28" s="1"/>
  <c r="S20" i="28"/>
  <c r="T20" i="28" s="1"/>
  <c r="S19" i="28"/>
  <c r="T19" i="28" s="1"/>
  <c r="S18" i="28"/>
  <c r="T18" i="28" s="1"/>
  <c r="S17" i="28"/>
  <c r="T17" i="28" s="1"/>
  <c r="S16" i="28"/>
  <c r="T16" i="28" s="1"/>
  <c r="S15" i="28"/>
  <c r="T15" i="28" s="1"/>
  <c r="S14" i="28"/>
  <c r="T14" i="28" s="1"/>
  <c r="S13" i="28"/>
  <c r="T13" i="28" s="1"/>
  <c r="S12" i="28"/>
  <c r="T12" i="28" s="1"/>
  <c r="S11" i="28"/>
  <c r="T11" i="28" s="1"/>
  <c r="T10" i="28"/>
  <c r="S10" i="28"/>
  <c r="S9" i="28"/>
  <c r="T9" i="28" s="1"/>
  <c r="S8" i="28"/>
  <c r="T8" i="28" s="1"/>
  <c r="S7" i="28"/>
  <c r="T7" i="28" s="1"/>
  <c r="S6" i="28"/>
  <c r="T6" i="28" s="1"/>
  <c r="S5" i="28"/>
  <c r="T5" i="28" s="1"/>
  <c r="S4" i="28"/>
  <c r="T4" i="28" s="1"/>
  <c r="S3" i="28"/>
  <c r="T3" i="28" s="1"/>
  <c r="S2" i="28"/>
  <c r="T2" i="28" s="1"/>
  <c r="U41" i="28" l="1"/>
  <c r="U21" i="28"/>
  <c r="U61" i="28"/>
</calcChain>
</file>

<file path=xl/sharedStrings.xml><?xml version="1.0" encoding="utf-8"?>
<sst xmlns="http://schemas.openxmlformats.org/spreadsheetml/2006/main" count="1100" uniqueCount="586">
  <si>
    <t>MAZ</t>
  </si>
  <si>
    <t>MALE</t>
  </si>
  <si>
    <t>Transfred fm Last MR NO. 71 RCC/132, wef 22.12.25 (FN)</t>
  </si>
  <si>
    <t>SBIN0007059</t>
  </si>
  <si>
    <t>SUBMITTED</t>
  </si>
  <si>
    <t>Transferred from Mr No. 71 RCC/132/Dec 2025 wef 21-Dec-2025 (F/N)</t>
  </si>
  <si>
    <t>SBIN0RRMIGB</t>
  </si>
  <si>
    <t>SKD-III</t>
  </si>
  <si>
    <t>Transfer from 71 RCC Mr No. 188 w.e.f 20/01/2026 (A/N).</t>
  </si>
  <si>
    <t>SKD-II</t>
  </si>
  <si>
    <t>SUJIT ROY</t>
  </si>
  <si>
    <t>20/05/1978</t>
  </si>
  <si>
    <t>DURGESH ROY (L)</t>
  </si>
  <si>
    <t>NoK -NISHA ROY (Wife)
S/o- DURGESH ROY (L)
Vill -TUPIDHARAR PART II
Post -BHUBANDHAR T.E
PS-DHOLAI
Dist-CACHAR
State-ASSAM
Pin- 788114</t>
  </si>
  <si>
    <t>5057 6827 3888</t>
  </si>
  <si>
    <t>TRANSFER FROM 71 RCC</t>
  </si>
  <si>
    <t>SBIN0017400</t>
  </si>
  <si>
    <t>Transfer from 71 RCC wef 21-Sep-2024 (F/N)</t>
  </si>
  <si>
    <t>MATE</t>
  </si>
  <si>
    <t>SBIN0009447</t>
  </si>
  <si>
    <t>RAJU HANSDA</t>
  </si>
  <si>
    <t>RECRUITED SEP 2025</t>
  </si>
  <si>
    <t>FEMALE</t>
  </si>
  <si>
    <t>RECRUITED OCT 2025</t>
  </si>
  <si>
    <t>DARO SOREN</t>
  </si>
  <si>
    <t>Transfred fm Last MR NO. 71 RCC/135, wef 21.12.26 (FN)</t>
  </si>
  <si>
    <t>Transferred from Mr No. 71 RCC/135/Jan 2026 wef 21-Dec-2025 (F/N)</t>
  </si>
  <si>
    <t>SBIN0012264</t>
  </si>
  <si>
    <t>RECRUITED AUG 2024</t>
  </si>
  <si>
    <t>SUBMITTED
NOV 2025</t>
  </si>
  <si>
    <t>RECRUITED DEC 2025</t>
  </si>
  <si>
    <t>SUBMITTED
DEC 2025</t>
  </si>
  <si>
    <t>SBIN0001803</t>
  </si>
  <si>
    <t>MAZ/SKD-II</t>
  </si>
  <si>
    <t>RECRUITED JAN 2026</t>
  </si>
  <si>
    <t>SKD-I</t>
  </si>
  <si>
    <t>RECRUITED APR 2024</t>
  </si>
  <si>
    <t>13/02/1976</t>
  </si>
  <si>
    <t>SBIN0006454</t>
  </si>
  <si>
    <t>JOHAN MURMU</t>
  </si>
  <si>
    <t>SBIN0003515</t>
  </si>
  <si>
    <t>KANCHAN DAS</t>
  </si>
  <si>
    <t>KRIPENDRA CHANDRA DAS</t>
  </si>
  <si>
    <t>NOK-SHANKARI DAS (WIFE)
S/O - KRIPENDRA CHANDRA DAS
VILLAGE -  DEBIPUR
P.O-DEBIPUR
P.S-CHOLAI
DISTRICT-CACAHR
STATE-ASSAM
Pin - 788114</t>
  </si>
  <si>
    <t>9064 0248 5728</t>
  </si>
  <si>
    <t>7101 8480 6349</t>
  </si>
  <si>
    <t>Transferred from 71RCC Mr No. 267 wef 21-Apr-2025 (F/N)</t>
  </si>
  <si>
    <t>SEBEN SOREN</t>
  </si>
  <si>
    <t>BABLU SOREN</t>
  </si>
  <si>
    <t>NoK:- MAHAFUL KISKU (WIFE)
Vill:- HETH SITUA, PO:- UPAR SITWA,
PS:- JAMA, DIST:- DUMKA,
STATE:- JHARKHAND, PIN:- 814101</t>
  </si>
  <si>
    <t>NoK:- KUSHAL SHARMA (SON)
Vill:- BRIGADE FIELD, PO:- BAWNGKAWN,
PS:- BAWNGKAWN, DIST:- AIZAWL,
STATE:- MIZORAM, PIN:- 796014</t>
  </si>
  <si>
    <t>RAMJOY ROY</t>
  </si>
  <si>
    <t>MAHADEV DAS</t>
  </si>
  <si>
    <t>Lt. MONORANJAN DAS</t>
  </si>
  <si>
    <t>NoK:- NAMITA DAS (WIFE)
Vill:- SITARAMPUR, PO:- PANIBHARA
PS:- DHOLAI, DIST:- CACHAR,
STATE:- ASSAM, PIN:- 788123</t>
  </si>
  <si>
    <t>7812 0588 3896</t>
  </si>
  <si>
    <t>RAJESH SINGHA</t>
  </si>
  <si>
    <t>NILDHAN SINGHA</t>
  </si>
  <si>
    <t>NoK:- SURMALA SINGHA (WIFE)
Vill:- RAMNAGAR TUKO, PO:- TARAPUR,
PS:- TARAPUR, DIST:- CACHAR,
STATE:- ASSAM, PIN:- 788003</t>
  </si>
  <si>
    <t>7811 9754 5646</t>
  </si>
  <si>
    <t>ASHOK ROY</t>
  </si>
  <si>
    <t>RAJKUMAR ROY</t>
  </si>
  <si>
    <t>S/O RAJKUMAR ROY
NoK - LAXMI ROY (Wife)
Vill - PUNIRMUKH
Post - PUNIRMUKH
Dist- CACHAR
PS- DHOLAI
STATE- Assam
PIN No- 788123</t>
  </si>
  <si>
    <t>2585 7651 3052</t>
  </si>
  <si>
    <t>7821 1351 4642</t>
  </si>
  <si>
    <t>MADAN HANSDA</t>
  </si>
  <si>
    <t>SONALAL HANSDA</t>
  </si>
  <si>
    <t>NOK-ANJALI KISKU (WIFE)
S/O-SONALAL HANSDA
VILL-KHARGAKHIL
P.O-BHALSUMAR
DIST-DUMKA
PS-RAMGARH
STATE-JHARKHAND
PIN-814102</t>
  </si>
  <si>
    <t>8994 1198 7813</t>
  </si>
  <si>
    <t>JAL HANSDA</t>
  </si>
  <si>
    <t>SURENDAR HANSDA</t>
  </si>
  <si>
    <t>NOK-MONISHA MURMU (WIFE)
S/O-SURENDAR HANSDA
VILLAGE - BANDAR JORI
P.O-AMBA JARUWADIH
P.S-JARMUNDI
DISTRICT-DUMKA
STATE-JHARKHAND
Pin - 814141</t>
  </si>
  <si>
    <t>2582 5756 7463</t>
  </si>
  <si>
    <t>7117 1119 1150</t>
  </si>
  <si>
    <t>SUBARNA RANI ROY</t>
  </si>
  <si>
    <t>W.O. ASHOK ROY</t>
  </si>
  <si>
    <t>NOK- ASHOK ROY (HUSBAND)
W/O- ASHOK ROY
VILL- PUNIRMUKH
PO- PUNIRMUKH
DIST- CACHAR
STATE- ASSAM
PS- DHOLAI
PIN- 788123</t>
  </si>
  <si>
    <t>3016 1273 8726</t>
  </si>
  <si>
    <t>7849 1985 2117</t>
  </si>
  <si>
    <t>NOK- SRBEN SOREN (SON)
S/O- DARO SOREN
VILL- HETH SITUA
PO- UPAR SITUVA
DIST- DUMKA
STATE- JHARKHAND
PS- JAMA
PIN- 814110</t>
  </si>
  <si>
    <t>6865 6774 0814</t>
  </si>
  <si>
    <t>7821 4746 7270</t>
  </si>
  <si>
    <t>JETHA MURMU</t>
  </si>
  <si>
    <t>NOK- CHHHATA TUDU (MOTHER)
S/O- JETAN MURMU
VILL- POREYAHAT
PO- POREYAHAT
DIST- GODDA
STATE- JHARKHAND
PS- POREYAHAT
PIN- 814153</t>
  </si>
  <si>
    <t>223 3647 2159</t>
  </si>
  <si>
    <t>7841 1695 6262</t>
  </si>
  <si>
    <t>MITHUN NATH</t>
  </si>
  <si>
    <t>RANJAN NATH</t>
  </si>
  <si>
    <t>NOK- NIRMALA (WIFE)
S/O- RANJAN NATH
VILL- PANIBHORA
PO- CLEVER HOUSE PART-I
DIST- CACHAR
STATE- ASSAM
PS- SILCHAR SADAR
PIN- 788112</t>
  </si>
  <si>
    <t>3457 3701 1363</t>
  </si>
  <si>
    <t>7812 0949 2027</t>
  </si>
  <si>
    <t>SHANKAR BALMIKI DAS</t>
  </si>
  <si>
    <t>17/05/1992</t>
  </si>
  <si>
    <t>GOPAL BALMIKI DAS</t>
  </si>
  <si>
    <t>NoK:-DIPIKA BALMIKI DAS (SISTER)
Vill:- ZAMABAWK, PO:- ZAMABAWK,
PS:- BAWNGKAWN, DIST:- AIZAWL, 
STATE:- MIZORAM, PIN:- 796017</t>
  </si>
  <si>
    <t>PRANAY KUMAR NATH</t>
  </si>
  <si>
    <t>Lt. PULIN BIHARI NATH</t>
  </si>
  <si>
    <t>NoK:- SHAMPA NATH (WIFE)
Vill:- NUTAN BAZAR, PO:- NASINGPUR,
PS:- DHOLAI, DIST:- CACHAR,
STATE:- ASSAM, PIN:- 788115</t>
  </si>
  <si>
    <t>MOHAN HASDA</t>
  </si>
  <si>
    <t>19/07/1984</t>
  </si>
  <si>
    <t>Lt. KANDAYA HASDA</t>
  </si>
  <si>
    <t>NoK:- JULI NATH (WIFE)
Vill:- ZAMABAWK, PO:- ZAMABAWK,
PS:- BAWNGKAWN, DIST:- AIZAWL, 
STATE:- MIZORAM, PIN:- 796017</t>
  </si>
  <si>
    <t>Th. SUBAL SINGHA</t>
  </si>
  <si>
    <t>31/10/1982</t>
  </si>
  <si>
    <t>Lt. Th. GOURCHANDRA SINGHA</t>
  </si>
  <si>
    <t>NoK:- LEIRAN SANA (WIFE)
Vill:- DARGABOND, PO:- DULLABCHERRA,
PS:- RATABARI, DIST:- KARIMGANJ, 
STATE:- ASSAM, PIN:- 788736</t>
  </si>
  <si>
    <t>PRANAY ROY</t>
  </si>
  <si>
    <t>CHITTARANJAN ROY</t>
  </si>
  <si>
    <t>NoK:- KALPONA ROY (WIFE)
Vill:- MALUGRAM, PO:- PANIBHORA,
PS:- DHOLAI, DIST:- CACHAR, 
STATE:- ASSAM, PIN:- 788123</t>
  </si>
  <si>
    <t>SIBU DAS</t>
  </si>
  <si>
    <t>17/03/1996</t>
  </si>
  <si>
    <t>Lt. CHARITRA MOHAN DAS</t>
  </si>
  <si>
    <t>NoK:- GITA RANI DAS (WIFE)
Vill:- KACHUDARAM PART -I,
PO:- KACHUDARAM PART -I, PS:- SONAI,
DIST:- CACHAR, STATE:- ASSAM, PIN:- 788119</t>
  </si>
  <si>
    <t xml:space="preserve">KAMITA </t>
  </si>
  <si>
    <t>D/O. T. MAILA</t>
  </si>
  <si>
    <t>NOK-RAVIKANTA SHARMA (HUSBAND)
D/O-T.MAILA
VILLAGE - SANGKUNGMEI
P.O-SENAPTI
P.S-SENAPATI
DISTRICT-SENAPATI
STATE-MANIPUR
Pin - 795007</t>
  </si>
  <si>
    <t>7930 4990 1046</t>
  </si>
  <si>
    <t>7836 5438 8226</t>
  </si>
  <si>
    <t>PANCHAMI MISHRA</t>
  </si>
  <si>
    <t>W/O. MANJAN MISHRA</t>
  </si>
  <si>
    <t>NOK-DIBAKAR (SON)
W/O MANJAN MISHRA
VILLAGE -  NAYABILL
P.O-BARJALENGA
P.S-DHOLAI
DISTRICT-CACHAR
STATE-ASSAM
Pin - 788117</t>
  </si>
  <si>
    <t>8403 1053 8955</t>
  </si>
  <si>
    <t xml:space="preserve">BENU CHETRI </t>
  </si>
  <si>
    <t>KRISHNA CHETRI</t>
  </si>
  <si>
    <t>NOK-MAJULA CHETRI (WIFE)
S/O KRISHNA CHETRI
VILLAGE -  ZEMABAWK
P.O-ZEMABAWK
P.S-BAWNGKAWN
DISTRICT-AIZAWL
STATE-MIZORAM
Pin - 796017</t>
  </si>
  <si>
    <t>9923 0039 4110</t>
  </si>
  <si>
    <t>NANDA KUMARI</t>
  </si>
  <si>
    <t>D/O T.B.THAPA</t>
  </si>
  <si>
    <t>D/o. T.B THAPA
NoK -YUVRAJ CHHETRI (SON)
Vill -THUAMPUI
Post -ZEMABAWK
Dist-AIZAWL
PS-BAWNGKAWN
STATE- MIZORAM
PIN No-796017</t>
  </si>
  <si>
    <t>9945 4267 0512</t>
  </si>
  <si>
    <t>7825 1365 0405</t>
  </si>
  <si>
    <t>BASANTI GUMA</t>
  </si>
  <si>
    <t>24/09/1979</t>
  </si>
  <si>
    <t>W/o LEMA GUMA</t>
  </si>
  <si>
    <t>NoK - Lema Guma (Husband)W/o Lema Guma
Vill - Zemabawk
Post - Zemabawk
Dist- Aizawl
PS- Bawngkawn
STATE- Mizoram
PIN No- 796017</t>
  </si>
  <si>
    <t>3564 7658 9802</t>
  </si>
  <si>
    <t>7825 6958 5339</t>
  </si>
  <si>
    <t>RECRUITED JUL 2024</t>
  </si>
  <si>
    <t>MITHUN ROY</t>
  </si>
  <si>
    <t>NOK-RIYA ROY (WIFE)
S/O-RAMJOY ROY
Vill -JIBANGRAM
Post -JIBANGRAM
Dist-CACHAR
State-ASSAM
PS-DHOLAI
Pin- 788114</t>
  </si>
  <si>
    <t>8975 3844 3407</t>
  </si>
  <si>
    <t>7121 1077 4071</t>
  </si>
  <si>
    <t>ISLAM UDDIN CHOUDHURY</t>
  </si>
  <si>
    <t>31/12/1985</t>
  </si>
  <si>
    <t>ABDUL RASHID CHOUDHURY</t>
  </si>
  <si>
    <t>NoK - Sabina Begam Choudhury (Wife)
S/o Abdul Rashid Choudhury
Vill - Kalinagar
Post - North Narainpur
Dist- Kailakandi
PS- Panchgram
STATE- Assam
PIN No- 788801</t>
  </si>
  <si>
    <t>4257 6633 8819</t>
  </si>
  <si>
    <t>7101 5305 9933</t>
  </si>
  <si>
    <t>SBIN0000087</t>
  </si>
  <si>
    <t>M. SATYAJIT SINGHA</t>
  </si>
  <si>
    <t>MEINAM CHINGLEN SINGHA</t>
  </si>
  <si>
    <t>NOK-MEINAM CHINGLEN SINGHA (FATHER)
S/O - MEINAM CHINGLEN SINGHA
VILLAGE -  RONGPUR
P.O-RONGPUR PT-II
P.S-SADAR
DISTRICT-CACHAR
STATE-ASSAM
Pin - 788009</t>
  </si>
  <si>
    <t>7284 5738 1822</t>
  </si>
  <si>
    <t>BIDHAN ROY</t>
  </si>
  <si>
    <t>BROJO KISHOR ROY</t>
  </si>
  <si>
    <t>S/O BROJO KISHOR ROY
NoK - Suma Roy (Wife)
Vill - Sukhtala
Post - Sukhtala
Dist- Cachar
PS- Dholai
STATE- Assam
PIN No- 788114</t>
  </si>
  <si>
    <t>9449 8909 7263</t>
  </si>
  <si>
    <t>TRANSFER FROM 71 RCC WEF 22 FEB 2026</t>
  </si>
  <si>
    <t>KAUSHIK MALAKAR</t>
  </si>
  <si>
    <t>Lt. KRIPAMAY MALAKAR</t>
  </si>
  <si>
    <t>S/O Lt. KRIPAMAY MALAKAR
NoK - Kakuli Malakar (Wife)
Vill - Alexanderpur
Post - Alexanderpur
Dist- Hailakandi
PS- Katlicherra
STATE- Assam
PIN No- 788161</t>
  </si>
  <si>
    <t>3864 9599 8581</t>
  </si>
  <si>
    <t>TRANSFER FROM 71 RCC WEF 22 FEB 2024</t>
  </si>
  <si>
    <t>RAM MANI MOLSOM</t>
  </si>
  <si>
    <t>TARANI BADUR MOLSOM</t>
  </si>
  <si>
    <t>NOK-LALPANI REANG
S/O TARANI BADUR MOLSOM
VILLAGE -  KALAI MOLSOM PARA
P.O-KHEDACHERRA
P.S-KHEDACHERRA
DISTRICT-NORTH TRIPURA
STATE-TRIPURA
Pin - 799256</t>
  </si>
  <si>
    <t>9534 0671 3460</t>
  </si>
  <si>
    <t>SAHEB ANSARI</t>
  </si>
  <si>
    <t>MANJUR ALAM</t>
  </si>
  <si>
    <t>NOK-MANJUR ANSARI (FATHER)
S/O - MANJULAM
VILLAGE -  ASTAJORA
P.O-ASTAJORA
P.S-KATHIKUND
DISTRICT-DUMKA
STATE-JHARKHAND
Pin - 814103</t>
  </si>
  <si>
    <t>6630 5591 7945</t>
  </si>
  <si>
    <t>6523 6054 781</t>
  </si>
  <si>
    <t>SAHIL ANSARI</t>
  </si>
  <si>
    <t>MANJUR ANSARI</t>
  </si>
  <si>
    <t>NOK-SAMINA BIBI (MOTHER)
S/O - MANJUR ANSARI
VILLAGE -  ASTAJORA
P.O-ASTAJORA
P.S-KATHIKUND
DISTRICT-DUMKA
STATE-JHARKHAND
Pin - 814103</t>
  </si>
  <si>
    <t>3346 2631 3284</t>
  </si>
  <si>
    <t>7846 2095 8610</t>
  </si>
  <si>
    <t>MANOJ TUDU</t>
  </si>
  <si>
    <t>MANJHI TUDU</t>
  </si>
  <si>
    <t>NOK-SANGEETA MARANDI (WIFE)
S/O - MANJHI TUDU
VILLAGE - PANDRIYA
P.O-KARBINDHA
P.S-RAMGARH
DISTRICT-DUMKA
STATE-JHARKHAND
Pin - 814158</t>
  </si>
  <si>
    <t>3054 3914 7393</t>
  </si>
  <si>
    <t>7797 3972 7923</t>
  </si>
  <si>
    <t>DILU RANA</t>
  </si>
  <si>
    <t>LT. MOTI RAM</t>
  </si>
  <si>
    <t xml:space="preserve">NOK‑ SAKUNTALA (WIFE)
S/O‑ LT. MOTI RAM
VILL‑ FOKLAND  
P.O‑ NEAREST  
PS‑ BAWNGKAWN
DIST‑ AIZAWL  
STATE‑ MIZORAM  
PIN‑ 796017  </t>
  </si>
  <si>
    <t>6028 4900 1087</t>
  </si>
  <si>
    <t>7811 9864 5397</t>
  </si>
  <si>
    <t>TUFAN ANSARI</t>
  </si>
  <si>
    <t>IRFAN ANSARI</t>
  </si>
  <si>
    <t>NoK - IRFAN ANSARI (Father)
S/O IFRAN ANSARI
Vill - Dhogariya
Post - Dhogariya
Dist- Dumka
PS- Dumka
STATE- Jharkhand
PIN No- 814158</t>
  </si>
  <si>
    <t>7244 3595 9809</t>
  </si>
  <si>
    <t>RUPLAL SOREN</t>
  </si>
  <si>
    <t>MANJHI SOREN</t>
  </si>
  <si>
    <t>NOK-MANJHI SOREN (FATHER)
S/O - MANJHI SOREN 
VILLAGE - HETH SITUVA
P.O-UPAR SITUVA
P.S-JAMA
DISTRICT-DUMKA
STATE-JHARKHAND
Pin - 814110</t>
  </si>
  <si>
    <t>8473 9820 7463</t>
  </si>
  <si>
    <t>7831 4340 2625</t>
  </si>
  <si>
    <t>DIBAKAR PAUL</t>
  </si>
  <si>
    <t>DIGENDRA CANDRA PAUL</t>
  </si>
  <si>
    <t>S/O DIGENDRA CANDRA PAUL
NoK - Monika Paul (Wife)
Vill - Jibangram
Post - Dholai
Dist- Cachar
PS- Dholai
STATE- Assam
PIN No- 788114</t>
  </si>
  <si>
    <t>3718 3031 9227</t>
  </si>
  <si>
    <t>SANGITA SHARMA</t>
  </si>
  <si>
    <t>W/O. RUPAK SHARMA</t>
  </si>
  <si>
    <t>NoK:- RUDHRA SHARMA (SON)
Vill:- GURUDYALPUR, PO:- DHOLAI,
PS:- DHOLAI, DIST:- CACHAR,
STATE:- ASSAM, PIN:- 788114</t>
  </si>
  <si>
    <t>7827 7684 9555</t>
  </si>
  <si>
    <t>JHARNA ROY</t>
  </si>
  <si>
    <t>W/O. PARGANA ROY</t>
  </si>
  <si>
    <t>NoK:- SUMIT ROY (SON)
Vill:- PUNIRMUKH, PO:- PUNIRMUKH,
PS:- DHOLAI, DIST:- CACHAR,
STATE:- ASSAM, PIN:- 788123</t>
  </si>
  <si>
    <t>7822 8794 9702</t>
  </si>
  <si>
    <t>KAVITA GHOSH</t>
  </si>
  <si>
    <t>W/O. PINTU GHOSH</t>
  </si>
  <si>
    <t>NoK:- PINTU GHOSH (HUSBAND)
Vill:- THUAMPUI, PO:- ZEMABAWK,
PS:- BAWNGKAWN, DIST:- AIZAWL,
STATE:- MIZORAM, PIN:- 796017</t>
  </si>
  <si>
    <t>7812 1362 2979</t>
  </si>
  <si>
    <t>RUBI MAYA SONAR</t>
  </si>
  <si>
    <t>W/O. KISHNA SHARMA</t>
  </si>
  <si>
    <t>7825 2444 2707</t>
  </si>
  <si>
    <t>BIKHATI YAN HALAM</t>
  </si>
  <si>
    <t>LALNAIMUL HALAM</t>
  </si>
  <si>
    <t>NoK:- TINGPAIDEN HALAM (WIFE)
Vill:- PANISAGAR, PO:- PANISAGAR,
PS:- PANISAGAR, DIST:- DARMANAGAR,
STATE:- NORTH TRIPURA, PIN:- 799260</t>
  </si>
  <si>
    <t>7812 1161 3598</t>
  </si>
  <si>
    <t>RAJU CHAKRABORTY</t>
  </si>
  <si>
    <t>PRIYOLAL CHAKRABORTY</t>
  </si>
  <si>
    <t>NoK:- APARNA CHAKRABORTY (WIFE)
Vill:- LATAKANDI, PO:- RANGABAK,
PS:- KATLICHARA, DIST:- HAILAKANDI,
STATE:- ASSAM, PIN:- 788161</t>
  </si>
  <si>
    <t>7102 6344 6876</t>
  </si>
  <si>
    <t>SONALAL SOREN</t>
  </si>
  <si>
    <t>MATHURA SOREN</t>
  </si>
  <si>
    <t>NoK:- DULAR MARDI (WIFE)
Vill:- DANGA, PO:- BUDHIKURA,
PS:- DEODAR, DIST:- GODDA,
STATE:- JHARKHAND, PIN:- 814153</t>
  </si>
  <si>
    <t>7819 8222 9621</t>
  </si>
  <si>
    <t>RAKISHOL HEMBARAM</t>
  </si>
  <si>
    <t>SHITAL HEMBARAM</t>
  </si>
  <si>
    <t>NoK:- SUSHILA MURMU (WIFE)
Vill:- HETH SITUA, PO:- UPAR SITWA,
PS:- JAMA, DIST:- DUMKA,
STATE:- JHARKHAND, PIN:- 814101</t>
  </si>
  <si>
    <t>7835 6787 0769</t>
  </si>
  <si>
    <t>BABULAL HANSDA</t>
  </si>
  <si>
    <t>NoK:- BETKA HANSDA (BROTHER)
Vill:- POREYAHAT, PO:- GODDA,
PS:- POREYAHAT, DIST:- GODDA,
STATE:- JHARKHAND, PIN:- 814153</t>
  </si>
  <si>
    <t>7811 1179 1425</t>
  </si>
  <si>
    <t>SWAPAN CHANDRA DAS</t>
  </si>
  <si>
    <t>31.08.1977</t>
  </si>
  <si>
    <t>Lt. LANI MOHAN DAS</t>
  </si>
  <si>
    <t>Vill : Satkar Kandi
PO : Satkar Kandi
PS : Sonai
Dist : Cachar
State : Assam
Pin : 788013</t>
  </si>
  <si>
    <t>9985 6602 7358</t>
  </si>
  <si>
    <t>7812 1170 5297</t>
  </si>
  <si>
    <t>SBIN0017222</t>
  </si>
  <si>
    <t>Transferred from Mr No. 71 RCC/249/ 2026 w.e.f 21-Apr-2026 (F/N)</t>
  </si>
  <si>
    <t>JHUMUR NATH</t>
  </si>
  <si>
    <t>15.01.1990</t>
  </si>
  <si>
    <t>Lt. JITESH NATH</t>
  </si>
  <si>
    <t>Vill : Lakhichara
PO : Jhirighat
PS : Jhirighat
Dist : Cachar
State : Assam
Pin : 788103</t>
  </si>
  <si>
    <t>2791 3350 2309</t>
  </si>
  <si>
    <t>7811 9864 2055</t>
  </si>
  <si>
    <t>BEDANTA NATH</t>
  </si>
  <si>
    <t>Lt. BIJOY NATH</t>
  </si>
  <si>
    <t>Vill : Panibora
PO : Panibora
PS : Dholai
Dist : Cachar
State : Assam
Pin : 788123</t>
  </si>
  <si>
    <t>8447 2303 1769</t>
  </si>
  <si>
    <t>7811 9856 0803</t>
  </si>
  <si>
    <t>KISHOR PAUL</t>
  </si>
  <si>
    <t>KIRENDRA PAUL</t>
  </si>
  <si>
    <t>Vill : Lantugram
PO : Dholai
PS : Dholai
Dist : Cachar
State : Assam
Pin : 788114</t>
  </si>
  <si>
    <t>6101 6081 7926</t>
  </si>
  <si>
    <t>7103 6049 6379</t>
  </si>
  <si>
    <t>KASHOR KUMAR</t>
  </si>
  <si>
    <t>R.P JOSHI</t>
  </si>
  <si>
    <t>Vill : Falkland
PO : Zemabawk
PS : Bawngkawn
Dist : Aizawl
State : Mizoram
Pin : 796017</t>
  </si>
  <si>
    <t>4145 4428 5554</t>
  </si>
  <si>
    <t>7812 1524 6710</t>
  </si>
  <si>
    <t>INDRA PRASAD SHARMA</t>
  </si>
  <si>
    <t>Lt. RANGALAL SHARMA</t>
  </si>
  <si>
    <t>Vill : Toripuam
PO : Bhanga Mandir
PS : Barsola
Dist : Saintpura
State : Assam
Pin : 784001</t>
  </si>
  <si>
    <t>9291 1374 9126</t>
  </si>
  <si>
    <t>7812 2316 7545</t>
  </si>
  <si>
    <t>SABUL ROY</t>
  </si>
  <si>
    <t>Lt. DINUMONI ROY</t>
  </si>
  <si>
    <t>Vill : Mothura Pur
PO : Jibangram
PS : Dholai
Dist : Cachar
State : Assam
Pin : 788114</t>
  </si>
  <si>
    <t>8900 0367 3367</t>
  </si>
  <si>
    <t>7812 3933 6473</t>
  </si>
  <si>
    <t>GANGA DHAR RAIKA</t>
  </si>
  <si>
    <t>LT. NARAYAN DHAR RAIKA</t>
  </si>
  <si>
    <t>Vill : Dombada
PO : Dombada
PS : Barampur
Dist : Bhuneswar
State : Odisha
Pin : 761212</t>
  </si>
  <si>
    <t>7963 8599 1604</t>
  </si>
  <si>
    <t>7812 2456 4004</t>
  </si>
  <si>
    <t>M. NANDA SINGHA</t>
  </si>
  <si>
    <t>Lt. MOINA BABU SINGHA</t>
  </si>
  <si>
    <t>Vill : Jhargul
PO : Sonai Mukh
PS : Sonai
Dist : Cachar
State : Assam
Pin : 788119</t>
  </si>
  <si>
    <t>7006 7374 9368</t>
  </si>
  <si>
    <t>7812 0471 7014</t>
  </si>
  <si>
    <t>KHALIL UDDIN BARBHUIYA</t>
  </si>
  <si>
    <t>Lt. ANFAR ALI BARBHUIYA</t>
  </si>
  <si>
    <t>Vill : Uttar Krishna Pur
PO : Uttar Krishna Pur
PS : Silchar
Dist : Cachar
State : Assam
Pin : 788006</t>
  </si>
  <si>
    <t>2643 1056 4230</t>
  </si>
  <si>
    <t>7812 0346 8619</t>
  </si>
  <si>
    <t>APARNA CHAKRABORTY</t>
  </si>
  <si>
    <t>W.O. RAJU CHAKRABORTY</t>
  </si>
  <si>
    <t>Vill : Latakandi
PO : Rangabak
PS : Katlichera
Dist : Hailakandi
State : Assam
Pin : 788161</t>
  </si>
  <si>
    <t>9899 6071 5877</t>
  </si>
  <si>
    <t>7102 6486 5718</t>
  </si>
  <si>
    <t xml:space="preserve">LOBIN MANJHI </t>
  </si>
  <si>
    <t>Lt. KATKI MANJHI</t>
  </si>
  <si>
    <t>Vill : Shyamacharan Pur
PO : Bhaga Bazar
PS : Dholai
Dist : Cachar
State : Assam
Pin : 788120</t>
  </si>
  <si>
    <t>5213 0647 1936</t>
  </si>
  <si>
    <t>7812 0202 7318</t>
  </si>
  <si>
    <t>H. KESO KUMAR</t>
  </si>
  <si>
    <t>H. BIRA SINGHA</t>
  </si>
  <si>
    <t>Vill : Leingangpokpi
PO : Gularthol
PS : Jiribam
Dist : Imphal East
State : Manipur
Pin : 795115</t>
  </si>
  <si>
    <t>8645 0878 3497</t>
  </si>
  <si>
    <t>7812 1456 3241</t>
  </si>
  <si>
    <t>ASHOK SHARMA</t>
  </si>
  <si>
    <t>HARIHAR SHARMA</t>
  </si>
  <si>
    <t>Vill : Iswar Pura
PO : Iswar Pura Milki
PS : Iswar Pura
Dist : Bhojpur
State : Bihar
Pin : 802112</t>
  </si>
  <si>
    <t>9275 1502 3498</t>
  </si>
  <si>
    <t>7812 1246 6782</t>
  </si>
  <si>
    <t>OM PRAKASH TUDU</t>
  </si>
  <si>
    <t>ANAND TUDU</t>
  </si>
  <si>
    <t>AISHI SOREN</t>
  </si>
  <si>
    <t>DUGARU SOREN</t>
  </si>
  <si>
    <t>RAJAN TUDU</t>
  </si>
  <si>
    <t>JYOTIN TUDU</t>
  </si>
  <si>
    <t>MONA DAS</t>
  </si>
  <si>
    <t>W/o. BISHWAJIT DAS</t>
  </si>
  <si>
    <t>16/16/1992</t>
  </si>
  <si>
    <t>NOK: MARSHILA SOREN (WIFE)
S/O: ANAND TUDU
VILL: LAKAD PAHARI
P-O: BHURKUNDA
DIST: DUMKA
STATE: JHARKHAND
P-S: DUMKA MUFSILL
PIN: 814158</t>
  </si>
  <si>
    <t>6961 3647 7672</t>
  </si>
  <si>
    <t>7849 3747 9358</t>
  </si>
  <si>
    <t>NOK: CHOTA BABU SOREN (BROTHER)
S/O: DUGARU SOREN
VILL: BUDHIYARI
P-O: MACHKHICHA
DIST: DUMKA
STATE: JHARKHAND
P-S: DUMKA MUFSILL
PIN: 814101</t>
  </si>
  <si>
    <t>8223 0482 5960</t>
  </si>
  <si>
    <t>7112 4716 8470</t>
  </si>
  <si>
    <t>NOK: SHILA MARANDI (WIFE)
S/O: JYOTIN TUDU
VILL: KARMATANR
P-O: GHASIPUR
DIST: DUMKA
STATE: JHARKHAND
P-S: DUMKA MUFFASIL
PIN: 814119</t>
  </si>
  <si>
    <t>7660 6240 2709</t>
  </si>
  <si>
    <t>7849 4513 5036</t>
  </si>
  <si>
    <t>NOK: BISHWAJIT DAS (HUSBAND)
S/O: BISHWAJIT DAS
VILL: BARJALENGA PART-I
P-O: NAYABIL
DIST: CACHAR
STATE: ASSAM
P-S: DHOLAI
PIN: 788117</t>
  </si>
  <si>
    <t>5690 6079 1160</t>
  </si>
  <si>
    <t>7812 0985 7265</t>
  </si>
  <si>
    <t>RABI GOALA</t>
  </si>
  <si>
    <t>BOLO GOALA</t>
  </si>
  <si>
    <t>SUSHIL KUMAR KALAI</t>
  </si>
  <si>
    <t>LALCHHANDAMI</t>
  </si>
  <si>
    <t>JANET LALREMRUATI</t>
  </si>
  <si>
    <t xml:space="preserve">SURANJIT NOMOSUDRA </t>
  </si>
  <si>
    <t>SEN KUMAR KALAI</t>
  </si>
  <si>
    <t>D/O. LALHMINGTHANGA</t>
  </si>
  <si>
    <t>D/O. LALZAWMLIANI</t>
  </si>
  <si>
    <t>NANDU NOMOSUDRA</t>
  </si>
  <si>
    <t>1510/2003</t>
  </si>
  <si>
    <t>NOK: SEFALI GOALA (MOTHER)
S/O: BOLO GOALA
VILL: SRIKONA GRANT
P-O: SRIKONA
DIST: CACHAR
STATE: ASSAM
P-S: SILCHAR SADAR THANA
PIN: 788026</t>
  </si>
  <si>
    <t>5620 2923 0104</t>
  </si>
  <si>
    <t>7850 0170 4974</t>
  </si>
  <si>
    <t>NOK: NOMITA KALAI (WIFE)
S/O: SEN KUMAR KALAI
VILL: KALAI MALSOM PARRA
P-O: KHEDA CHERRA
DIST: PANI SAGAR
STATE: NORTH TRIPURA
P-S: KHEDA CHERRA
PIN: 799256</t>
  </si>
  <si>
    <t>8133 1195 1819</t>
  </si>
  <si>
    <t>7811 9784 6042</t>
  </si>
  <si>
    <t>NOK: STEPHEN LALREMMAWIA (SON)
S/O: LALHMINGTHANGA
VILL: THUAMPUI
P-O: ZEMABAWK
DIST: AIZAWL
STATE: MIZORAM
P-S: BAWNGKAWN
PIN: 796017</t>
  </si>
  <si>
    <t>5987 4468 9098</t>
  </si>
  <si>
    <t>7849 4857 4221</t>
  </si>
  <si>
    <t>NOK: LALZAWMLIANA (FATHER)
D/O: LALZAWMLIANA
VILL: DURTLANG
P-O: BAWNGKAWN
DIST: AIZAWL
STATE: MIZORAM
P-S: BAWNGKAWN
PIN: 796001</t>
  </si>
  <si>
    <t>7687 1081 1429</t>
  </si>
  <si>
    <t>7850 2513 7882</t>
  </si>
  <si>
    <t>NOK: OMELI NOMOSUDRA (WIFE)
S/O: NANDU NOMOSUDRA
VILL: MAKHAN NAGAR
P-O: JIRIGHAT
DIST: CACHAR
STATE: ASSAM
P-S: JIRIGHAT
PIN: 788104</t>
  </si>
  <si>
    <t>9329 2822 5160</t>
  </si>
  <si>
    <t>7849 7116 3897</t>
  </si>
  <si>
    <t>SUBMITTEDNOV 2025</t>
  </si>
  <si>
    <t>JOHN HENRY REANG</t>
  </si>
  <si>
    <t>LALHMUNSANGA REANG</t>
  </si>
  <si>
    <t>S/O LALHMUNSANGA REANG
NoK -JEREMIA REANG (BROTHER)
Vill -SABUAL
Post -VANGHMUN
Dist-NORTH TRIPURA
PS-VANGHMUN
STATE- TRIPURA
PIN No-799269</t>
  </si>
  <si>
    <t>6293 2929 1967</t>
  </si>
  <si>
    <t/>
  </si>
  <si>
    <t>REMEDICAL</t>
  </si>
  <si>
    <t>SASHI KUMAR RAY</t>
  </si>
  <si>
    <t>ANAND RAY</t>
  </si>
  <si>
    <t>NOK-SONOKA RAY (WIFE)
S/O-ANAND RAY
VILLAGE - BANWARI
P.O-PRATAPPUR
P.S-RANISHWAR
DISTRICT-DUMKA
STATE-JHARKHAND
Pin - 814148</t>
  </si>
  <si>
    <t>4805 4039 6947</t>
  </si>
  <si>
    <t>7815 5560 1588</t>
  </si>
  <si>
    <t>SBIN0012545</t>
  </si>
  <si>
    <t>SUKHDEV RAY</t>
  </si>
  <si>
    <t>MANOHAR RAY</t>
  </si>
  <si>
    <t>NOK-MANOJ RAY (SON)
S/O-MANOHAR RAY
VILLAGE - CHICHRO
P.O-SALDAHA
P.S-KATHIKUND
DISTRICT-DUMKA
STATE-JHARKHAND
Pin - 814103</t>
  </si>
  <si>
    <t>8614 1357 8005</t>
  </si>
  <si>
    <t>7815 3119 4732</t>
  </si>
  <si>
    <t>SHIBU DEHRI</t>
  </si>
  <si>
    <t>SUKU DEHRI</t>
  </si>
  <si>
    <t>NOK-RAJESHRI KUMARI (WIFE)
S/O-GOBIND TUDU
VILLAGE - JAYPAHADI
P.O-SADIPUR
P.S-RANSWAR
DISTRICT-DUMKA
STATE-JHARKHAND
Pin - 814144</t>
  </si>
  <si>
    <t>2888 3088 6993</t>
  </si>
  <si>
    <t>7120 7271 0319</t>
  </si>
  <si>
    <t>RAJ KUMAR RAY</t>
  </si>
  <si>
    <t>CHARAKHA RAY</t>
  </si>
  <si>
    <t>NOK-CHARAKAHA RAY (FATHER)
S/O-CHARAKHA RAY
VILLAGE - JHIRKA
P.O-SALDAHA
P.S-KATHIKUND
DISTRICT-DUMKA
STATE-JHARKHAND
Pin - 814103</t>
  </si>
  <si>
    <t>6880 9112 6579</t>
  </si>
  <si>
    <t>7841 8139 4786</t>
  </si>
  <si>
    <t>FULCHAND RAY</t>
  </si>
  <si>
    <t>LT SANICHAR RAY</t>
  </si>
  <si>
    <t>NOK-RAJKUMAR RAY (SON)
S/O-LATE SANICHAR RAY
VILLAGE - JIKRA
P.O-SALDAHA
P.S-KATHIKUND
DISTRICT-DUMKA
STATE-JHARKHAND
Pin - 814103</t>
  </si>
  <si>
    <t>3863 8182 2632</t>
  </si>
  <si>
    <t>7111 4567 4383</t>
  </si>
  <si>
    <t>JAGANATH RAY</t>
  </si>
  <si>
    <t>SAMAR RAY</t>
  </si>
  <si>
    <t>NOK-MUNKI DEVI (WIFE)
S/O- SAMAR RAY
VILLAGE - JHIRKA
P.O-SALDAHA
P.S-KATHIKUND
DISTRICT-DUMKA
STATE-JHARKHAND
Pin - 814103</t>
  </si>
  <si>
    <t>3290 0733 0885</t>
  </si>
  <si>
    <t>7805 3642 2652</t>
  </si>
  <si>
    <t>SHANKAR RAY</t>
  </si>
  <si>
    <t>LT DHANPATI RAY</t>
  </si>
  <si>
    <t>NOK-BINDU SWARI DEVI (WIFE)
S/O-LT DHANPATI RAY
VILLAGE - AHARICHWAN
P.O-KARUDIH
P.S-GOPIKANDAR
DISTRICT-DUMKA
STATE-JHARKHAND
Pin - 816117</t>
  </si>
  <si>
    <t>2727 3791 1242</t>
  </si>
  <si>
    <t>7799 3289 5718</t>
  </si>
  <si>
    <t>CPDVR</t>
  </si>
  <si>
    <t>KISUN HEMBRAM</t>
  </si>
  <si>
    <t>KHIFA HEMBRAM</t>
  </si>
  <si>
    <t>S/O KHIFA HEMBRAM
NoK -BISNU HEMBROM
Vill -LOTAVANI
Post -SUKJUDA
Dist-DUMKA
PS-RANISHWAR
STATE- JAHRKHAND
PIN No-814148</t>
  </si>
  <si>
    <t>8072 7434 1860</t>
  </si>
  <si>
    <t>7818 8090 6000</t>
  </si>
  <si>
    <t xml:space="preserve">REMEDICAL </t>
  </si>
  <si>
    <t>0937</t>
  </si>
  <si>
    <t>KB CHETRI</t>
  </si>
  <si>
    <t>DBR CHETRI</t>
  </si>
  <si>
    <t>S/O DBR CHETRI
NoK -SANKARBAHADUR CHETRI (BROTHER)
Vill - NAGI CHARRA
Post -NAGI CHARRA
Dist-WEST TRIPURA
PS-SRI NAGAR
STATE- TRIPURA
PIN No-799004</t>
  </si>
  <si>
    <t>4743 0409 5726</t>
  </si>
  <si>
    <t>SGI</t>
  </si>
  <si>
    <t>APY</t>
  </si>
  <si>
    <t>7818 0005 2743</t>
  </si>
  <si>
    <t>SBIN0005823</t>
  </si>
  <si>
    <t>0940</t>
  </si>
  <si>
    <t>ABHIJIT DEB</t>
  </si>
  <si>
    <t>GOPAL DEB</t>
  </si>
  <si>
    <t>S/O GOPAL DEB
NoK -MOUSAMI DEB (WIFE)
Vill -ITKHOLA GHAT
Post -SILCHAR
Dist-CACHAR
PS-SILCHAR
STATE- ASSAM
PIN No-788001</t>
  </si>
  <si>
    <t>9337 8219 6281</t>
  </si>
  <si>
    <t>7819 5760 5508</t>
  </si>
  <si>
    <t>DINDAYAL BHAGAT</t>
  </si>
  <si>
    <t>MAHANTIA PROSAD BAHGAT</t>
  </si>
  <si>
    <t>S/O MAHANTIA PROSAD BAHGAT
NoK -MUNI DEVI
Vill -PHULJHANJHRI
Post -PHULJHANJHRI
Dist-PAKUR
PS-GOPIKANDAR
STATE- JHARKHAND
PIN No-816117</t>
  </si>
  <si>
    <t>9168 0415 7545</t>
  </si>
  <si>
    <t>7815 3131 1660</t>
  </si>
  <si>
    <t>SKD-II/MAZ</t>
  </si>
  <si>
    <t>SAJAL NOMASHUDRA</t>
  </si>
  <si>
    <t>NAURUTAM NOMASHUDRA</t>
  </si>
  <si>
    <t>S/O NAURUTAM NOMASHUDRA
NoK -ROMA NOMASHUDRA (WIFE)
Vill -CHOTAKUNA 
Post -KARIMGANJ
Dist-KARIMGANJ
PS-RAMKRISHNAGAR
STATE- ASSAM
PIN No-788156</t>
  </si>
  <si>
    <t>7483 9880 1886</t>
  </si>
  <si>
    <t>7788 3831 2866</t>
  </si>
  <si>
    <t>REMEDICAL
A/C changed wef 21 Oct 2024</t>
  </si>
  <si>
    <t>BRAHMDEV SINGH</t>
  </si>
  <si>
    <t>THAKUR SINGH</t>
  </si>
  <si>
    <t>NOK-CHOTKU SINGH (SON)
S/O- THAKUR SINGH
VILL- BALIADANGAL  
P.O- BALIADANGAL
PS- MAHESH PUR  
DIST- PAKUR  
STATE- JHARKHAND  
PIN- 814103</t>
  </si>
  <si>
    <t>8451 6891 2581</t>
  </si>
  <si>
    <t>7819 6885 7196</t>
  </si>
  <si>
    <t>RECRUITED ON JAN 2026
A/C Changed Mar 2026</t>
  </si>
  <si>
    <t>DHANU RAY</t>
  </si>
  <si>
    <t>DUBE RAY</t>
  </si>
  <si>
    <t xml:space="preserve">NOK- RUKMA DEVI (WIFE)
S/O- DUBE RAY
VILL- JARKA  
P.O- GHASIRPUR 
PS- DUMKA  
DIST- DUMKA  
STATE- JHARKHAND  
PIN- 814101 </t>
  </si>
  <si>
    <t>6212 1076 4767</t>
  </si>
  <si>
    <t>7802 4094 0970</t>
  </si>
  <si>
    <t>RECRUITED ON JAN 2026</t>
  </si>
  <si>
    <t>KONGRESH MURMU</t>
  </si>
  <si>
    <t>VIMAL MURMU</t>
  </si>
  <si>
    <t>NOK-HOPNI HEMBROM (MOTHER)
S/O- VIMAL MURMU
VILL- MASANJOR
P.O.- BILKANDI
P.S.- TONGRA
DIST.- DUMKA
STATE- JHARKHAND
PIN- 814144</t>
  </si>
  <si>
    <t>9624 3609 5563</t>
  </si>
  <si>
    <t>7835 8579 2279</t>
  </si>
  <si>
    <t>RAJU RAY</t>
  </si>
  <si>
    <t>KONGRES RAY</t>
  </si>
  <si>
    <t>NOK-GANGA DEVI (MOTHER)
S/O- KONGRES RAY
VILL- PAKPAHARI
P.O.- BILKANDI
P.S.- TONGRA
DIST.- DUMKA
STATE- JHARKHAND
PIN- 814144</t>
  </si>
  <si>
    <t>7089 0808 5216</t>
  </si>
  <si>
    <t>7825 8721 2662</t>
  </si>
  <si>
    <t>DHUNU MURMU</t>
  </si>
  <si>
    <t>GUPIN MURMU</t>
  </si>
  <si>
    <t>NOK-JEBIYAR MURMU (BROTHER)
S/O- GUPIN MURMU
VILL- BARAI
P.O.- GUHIYAJORI
P.S.- RANISHWAR
DIST.- DUMKA MUFSIL
STATE- JHARKHAND
PIN- 814158</t>
  </si>
  <si>
    <t>4786 2098 2395</t>
  </si>
  <si>
    <t>7808 9763 4688</t>
  </si>
  <si>
    <t>SANJIT KUMAR CHAKMA</t>
  </si>
  <si>
    <t>KALYAN</t>
  </si>
  <si>
    <t>S/O KALYAN
NoK -LALROCHHUNGI (WIFE)
Vill -BUALPUI H
Post -THINGSAI
Dist-LUNGLEI
PS-THINGSAI
STATE- MIZORAM
PIN No-796581</t>
  </si>
  <si>
    <t>5453 7747 1017</t>
  </si>
  <si>
    <t>7819 5707 1798</t>
  </si>
  <si>
    <t>SBIN0005827</t>
  </si>
  <si>
    <t>GANESH RAY</t>
  </si>
  <si>
    <t>NOK-GITA DEVI (WIFE)
S/O-MANOHAR ROY
VILL-CHICHRO
POST-SALDAHA
DISTRICT-DUMKA
STATE-JHARKHAND
P.S-KATHIKUND
PIN-814103</t>
  </si>
  <si>
    <t>3409 6108 1405</t>
  </si>
  <si>
    <t>7811 7407 1233</t>
  </si>
  <si>
    <t>RADHAKANTA ROY</t>
  </si>
  <si>
    <t>HIRANDRA ROY</t>
  </si>
  <si>
    <t>S/O HIRANDRA ROY
NoK -LAKI ROY (WIFE)
Vill -MOHANPUR RA
Post -RATANPUR
Dist-HAILAKANDI
PS-ALGAPUR
STATE- ASSAM
PIN No-788155</t>
  </si>
  <si>
    <t>3593 1827 0017</t>
  </si>
  <si>
    <t>7818 3633 5290</t>
  </si>
  <si>
    <t>SBIN0000001</t>
  </si>
  <si>
    <t>0934</t>
  </si>
  <si>
    <t>LALNEIHKIMA</t>
  </si>
  <si>
    <t>LALTHANSANGA</t>
  </si>
  <si>
    <t>S/O LALTHANSANGA
NoK - ZOSANGPUIA (BROTHER)
Vill -W.PHULPUI
Post -PHULDUNGSEI
Dist-MAMIT
PS-MARPARA
STATE- MIZORAM
PIN No-796431</t>
  </si>
  <si>
    <t>4082 3338 0024</t>
  </si>
  <si>
    <t>PMSBY</t>
  </si>
  <si>
    <t>7810 6431 9731</t>
  </si>
  <si>
    <t>ZORAMA</t>
  </si>
  <si>
    <t>VIRA</t>
  </si>
  <si>
    <t>NOK- LALHIMAWMA  (SON)
S/O- VIRA
VILL- PEM VENG TIHNGSAI
POST- THINGSAI
DISTRICT- HNAHTHAL
STATE- MIZORAM
P.S-THINGSAI
PIN-796571</t>
  </si>
  <si>
    <t>2159 4594 4201</t>
  </si>
  <si>
    <t>SUBMITTED
20 NOV 2025</t>
  </si>
  <si>
    <t>MATLA MURMU</t>
  </si>
  <si>
    <t>BABLU MURMU</t>
  </si>
  <si>
    <t>NOK-SUNITA MARDI (WIFE)
S/O-BABLU MURMU
VILL-GHANTI
POST-THARIHAT
DISTRICT-DUMKA
STATE-JHARKHAND
P.S-RAMGARH
PIN-814158</t>
  </si>
  <si>
    <t>8493 6954 3915</t>
  </si>
  <si>
    <t>7841 8518 8354</t>
  </si>
  <si>
    <t>RECRUITED ON SEP 2025</t>
  </si>
  <si>
    <t>FRANCIS HEMBRAM</t>
  </si>
  <si>
    <t>RAMESHWAR HEMBRAM</t>
  </si>
  <si>
    <t>NOK- SUKUR MUNI KISKU (MOTHER)
S/O- RAMESHWAR HEMBRAM
VILL- BHAGA BAND
PO- GODDA
DIST- GODDA
STATE- JHARKHAND
PS- GODDA
PIN- 814133</t>
  </si>
  <si>
    <t>9261 2114 2080</t>
  </si>
  <si>
    <t>7841 7184 8411</t>
  </si>
  <si>
    <t>SUKUMAR RAI</t>
  </si>
  <si>
    <t>SANAT RAI</t>
  </si>
  <si>
    <t>S/o- Sanat Rai
NoK - Kamala Rai (Wife)
Vill - Mahula
Post - Sajina
Dist- Suri-I, Birbhum
PS- Suri
STATE- W.B
PIN No- 731126</t>
  </si>
  <si>
    <t>7792 1578 0576</t>
  </si>
  <si>
    <t>RECRUITED JUNE 2024</t>
  </si>
  <si>
    <t>SITARAM RAY</t>
  </si>
  <si>
    <t>28/02/2005</t>
  </si>
  <si>
    <t>JASATI RAY</t>
  </si>
  <si>
    <t>S/o- Jasati Ray
NoK - Bhudhan Ray (Brother)
Vill - Phuljhindjhri
Post - Phuljhinjhri
Dist- Pakur
PS- Pakudiya
STATE- Jharkhand
PIN No- 816117</t>
  </si>
  <si>
    <t>7819 5330 2868</t>
  </si>
  <si>
    <t>JEET MOHAN RAI</t>
  </si>
  <si>
    <t>S/O SUKUMAR RAI
NoK -SUKUMAR RAI (FATHER)
Vill -SAJINA
Post -MAHULA
Dist-BIRDHUM
PS-SAJINA
STATE- WEST BENGAL
PIN No-731126</t>
  </si>
  <si>
    <t>3727 3369 4987</t>
  </si>
  <si>
    <t>DHUMA HANSDA</t>
  </si>
  <si>
    <t>BUDHAN HANSDA</t>
  </si>
  <si>
    <t>NOK   : MANJU KUMARI (WIFE)
S/O   : BUDHAN HANSDA
Vill  : TITANGO
PO    : THARIHAT
PS    : RAMGARH
Dist  : DUMKA
State : JHARKHAND
Pin   : 814158</t>
  </si>
  <si>
    <t>2326 4511 3394</t>
  </si>
  <si>
    <t>7839 5951 2833</t>
  </si>
  <si>
    <t>RECRUITED FEB 2025</t>
  </si>
  <si>
    <t>KAILASH KISKU</t>
  </si>
  <si>
    <t>GANESH KISKU</t>
  </si>
  <si>
    <t>NOK- GANESH KISKU (FATHER)
S/O- GANESH KISKU
VILL- GULAMSULI
PO- PRATAPPUR
DIST- DUMKA
STATE- JHARKHAND
PS- RANISHWAR
PIN- 814148</t>
  </si>
  <si>
    <t>5669 3344 9346</t>
  </si>
  <si>
    <t>7825 2356 3625</t>
  </si>
  <si>
    <t>ARJUN HEMBROM</t>
  </si>
  <si>
    <t>CHUNDA HEMBROM</t>
  </si>
  <si>
    <t>NOK-PARMILA SOREN (FATHER)
S/O-CHUNDA HEMBROM
VILL-BHALKI
POST-BARMASIA
DISTRICT-DUMKA
STATE-JHARKHAND
P.S-SHIKARIPARA
PIN-816118</t>
  </si>
  <si>
    <t>5752 4191 1815</t>
  </si>
  <si>
    <t>7817 9453 0639</t>
  </si>
  <si>
    <t>BAIBAL SOREN</t>
  </si>
  <si>
    <t>CHOTU SOREN</t>
  </si>
  <si>
    <t>NOK- TULU MURMU (MOTHER)
S/O-CHOTU SOREN
VILL- AMBWAR
POST- PURAIYAHAT
DISTRICT-GODDA
STATE-JHARKHAND
P.S-RAMGARH
PIN-814153</t>
  </si>
  <si>
    <t>8109 5559 0413</t>
  </si>
  <si>
    <t>7815 3173 2524</t>
  </si>
  <si>
    <t>MANOJ RAY</t>
  </si>
  <si>
    <t>SUKDEV RAY</t>
  </si>
  <si>
    <t>NOK- SUKDEV RAY  (FATHER)
S/O- SUKDEV RAY 
VILL- CHICHRO
POST- SALDAHA
DISTRICT-DUMKA
STATE-JHARKHAND
P.S-KATHIKUND
PIN-814103</t>
  </si>
  <si>
    <t>4905 6638 4835</t>
  </si>
  <si>
    <t>7847 9967 2444</t>
  </si>
  <si>
    <t>PRATAP RAY</t>
  </si>
  <si>
    <t>SAHDEV RAY</t>
  </si>
  <si>
    <t>NOK: SAHDEV RAY (FATHER)
S/O: SAHDEV RAY / SAMDEV RAY
VILL: ASANBANI
P-O: GOWARI
DIST: DUMKA
STATE: JHARKHAND
P-S: MUFFSIL
PIN: 814158</t>
  </si>
  <si>
    <t>9841 6004 7566</t>
  </si>
  <si>
    <t>7813 2869 4182</t>
  </si>
  <si>
    <t>PANO RAY</t>
  </si>
  <si>
    <t>NOK: PANO RAY (FATHER)
S/O: PANO RAY
VILL: PAKPAHADI / PAKPAHARI
P-O: BILKANDI
DIST: DUMKA
STATE: JHARKHAND
P-S: RANISHWAR
PIN: 814144</t>
  </si>
  <si>
    <t>7166 5727 5747</t>
  </si>
  <si>
    <t>7840 1888 3071</t>
  </si>
  <si>
    <t>GOPI RAY</t>
  </si>
  <si>
    <t>DHANPATI RAY</t>
  </si>
  <si>
    <t>NOK: DHANPATI RAY (FATHER)
S/O: DHANPATI RAY
VILL: BANWARI
P-O: PRATAPPUR
DIST: DUMKA
STATE: JHARKHAND
P-S: RANESHWAR
PIN: 814148</t>
  </si>
  <si>
    <t>6881 5819 4443</t>
  </si>
  <si>
    <t>7850 2258 6042</t>
  </si>
  <si>
    <t>BUDILAL TUDU</t>
  </si>
  <si>
    <t>MOTI TUDU</t>
  </si>
  <si>
    <t>NOK: MOTI TUDU (FATHER)
S/O: MOTI TUDU
VILL: PAKPAHADI
P-O: BILKANDI
DIST: DUMKA
STATE: JHARKHAND
P-S: TONGRA
PIN: 814144</t>
  </si>
  <si>
    <t>9161 5169 2439</t>
  </si>
  <si>
    <t>7850 3426 9158</t>
  </si>
  <si>
    <t>KUSHAN RAY</t>
  </si>
  <si>
    <t>UTTAM RAY</t>
  </si>
  <si>
    <t>NOK: UTTAM RAY (FATHER)
S/O: UTTAM RAY
VILL: BANWARI
P-O: RAGHUNATHPUR
DIST: DUMKA
STATE: JHARKHAND
P-S: RAMISHWAR / RANISHWAR
PIN: 814148</t>
  </si>
  <si>
    <t>7438 2534 1301</t>
  </si>
  <si>
    <t>7893 8970 1524</t>
  </si>
  <si>
    <t>MUKESH RAY</t>
  </si>
  <si>
    <t>MANIK RAY</t>
  </si>
  <si>
    <t>NOK: MANIK RAY (FATHER)
S/O: MANIK RAY
VILL: PAKPAHARI
P-O: BILKANDI
DIST: DUMKA
STATE: JHARKHAND
P-S: RANISHWAR
PIN: 814144</t>
  </si>
  <si>
    <t>7654 0232 8924</t>
  </si>
  <si>
    <t>7850 3422 3883</t>
  </si>
  <si>
    <t>SIBLAL SOREN</t>
  </si>
  <si>
    <t>DHENA SOREN</t>
  </si>
  <si>
    <t>NOK: DHENA TUDU (FATHER)
S/O: CHENA SOREN / DHENA SOREN
VILL: BANWARI
P-O: PRATAPPUR
DIST: DUMKA
STATE: JHARKHAND
P-S: RANISHWAR
PIN: 814148</t>
  </si>
  <si>
    <t>4670 4377 8391</t>
  </si>
  <si>
    <t>7813 6580 3339</t>
  </si>
  <si>
    <t>RIPAN DEBNATH</t>
  </si>
  <si>
    <t>PRADIP CHANDRA DEBNATH</t>
  </si>
  <si>
    <t>NOK - PRADIP CHANDRA DEBNATH (FATHER, 61 YRS), 
S/O PRADIP CHANDRA DEBNATH, 
VILL- 126A, VIVEKANANDA PARK, 
PO- MUKUNDAPUR,
DIST- KOLKATTA, 
STATE- WEST BENGAL, PIN- 700099
PS-PURBA JADAVPUR</t>
  </si>
  <si>
    <t>6329 3155 5472</t>
  </si>
  <si>
    <t>RECRUITED AUG 2026</t>
  </si>
  <si>
    <t>ARCHANA DEBNATH</t>
  </si>
  <si>
    <t>BRAJENDRA KUMAR DEBNATH</t>
  </si>
  <si>
    <t>NOK - ASHA DEBNATH (DAUGHTER, 21 YRS), D/O BRAJENDRA KUMAR DEBNATH, VILL- SADHAN NARAYAN PARA, SANTIRBAZAR, TAKMACHARA, PO- TAKMACHARA, DIST- SOUTH TRIPURA, STATE- TRIPURA, PIN- 799125</t>
  </si>
  <si>
    <t>5891 8154 7013</t>
  </si>
  <si>
    <t>663902120000516</t>
  </si>
  <si>
    <t>UBIN0566390</t>
  </si>
  <si>
    <t>JOHNY ROSANGPUIA</t>
  </si>
  <si>
    <t>LALTLUANGLIANA</t>
  </si>
  <si>
    <t>NOK - LALNUNZIRI (MOTHER, 46 YRS), 
S/O LALTLUANGLIANA, VILL- 58, BUALPUI H, NEAR PRESBYTERIAN CHURCH, VENGCHHAK, 
PO- THINGSAI, 
DIST- HNAHTHIAL, 
PS- THINGSAI, 
STATE- MIZORAM, 
PIN- 796581</t>
  </si>
  <si>
    <t>9601 9192 7858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</si>
</sst>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000\ 0000\ 0000"/>
    <numFmt numFmtId="165" formatCode="_-* #,##0.00_-;\-* #,##0.00_-;_-* &quot;-&quot;??_-;_-@_-"/>
    <numFmt numFmtId="166" formatCode="[$-F800]dddd\,\ mmmm\ dd\,\ yyyy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Arial"/>
      <family val="2"/>
    </font>
    <font>
      <sz val="12"/>
      <color rgb="FF000000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2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0" fontId="8" fillId="0" borderId="0">
      <alignment vertical="center"/>
    </xf>
    <xf numFmtId="165" fontId="9" fillId="0" borderId="0">
      <alignment vertical="top"/>
      <protection locked="0"/>
    </xf>
    <xf numFmtId="165" fontId="1" fillId="0" borderId="0" applyFont="0" applyFill="0" applyBorder="0" applyAlignment="0" applyProtection="0"/>
  </cellStyleXfs>
  <cellXfs count="54">
    <xf numFmtId="0" fontId="0" fillId="0" borderId="0" xfId="0"/>
    <xf numFmtId="1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15" fontId="6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1" fontId="2" fillId="2" borderId="1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2" fillId="2" borderId="1" xfId="0" applyFont="1" applyFill="1" applyBorder="1" applyAlignment="1">
      <alignment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164" fontId="5" fillId="0" borderId="1" xfId="1" applyNumberFormat="1" applyFont="1" applyFill="1" applyBorder="1" applyAlignment="1" applyProtection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14" fontId="3" fillId="2" borderId="1" xfId="0" applyNumberFormat="1" applyFont="1" applyFill="1" applyBorder="1" applyAlignment="1">
      <alignment horizontal="left" vertical="center"/>
    </xf>
    <xf numFmtId="0" fontId="3" fillId="2" borderId="3" xfId="0" applyFont="1" applyFill="1" applyBorder="1" applyAlignment="1">
      <alignment vertical="center"/>
    </xf>
    <xf numFmtId="164" fontId="5" fillId="2" borderId="1" xfId="1" applyNumberFormat="1" applyFont="1" applyFill="1" applyBorder="1" applyAlignment="1" applyProtection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15" fontId="6" fillId="2" borderId="1" xfId="0" applyNumberFormat="1" applyFont="1" applyFill="1" applyBorder="1" applyAlignment="1">
      <alignment horizontal="left" vertical="center"/>
    </xf>
    <xf numFmtId="0" fontId="0" fillId="2" borderId="0" xfId="0" applyFill="1"/>
    <xf numFmtId="166" fontId="6" fillId="0" borderId="1" xfId="0" applyNumberFormat="1" applyFont="1" applyBorder="1" applyAlignment="1">
      <alignment horizontal="left" vertical="center"/>
    </xf>
    <xf numFmtId="0" fontId="2" fillId="0" borderId="1" xfId="0" quotePrefix="1" applyFont="1" applyBorder="1" applyAlignment="1">
      <alignment horizontal="center"/>
    </xf>
    <xf numFmtId="0" fontId="2" fillId="0" borderId="2" xfId="0" applyFont="1" applyBorder="1" applyAlignment="1">
      <alignment horizontal="left" vertical="center"/>
    </xf>
    <xf numFmtId="0" fontId="2" fillId="0" borderId="4" xfId="0" applyFont="1" applyBorder="1" applyAlignment="1">
      <alignment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1" applyNumberFormat="1" applyFont="1" applyFill="1" applyBorder="1" applyAlignment="1">
      <alignment horizontal="right" vertical="center"/>
    </xf>
    <xf numFmtId="0" fontId="5" fillId="0" borderId="1" xfId="0" applyFont="1" applyBorder="1" applyAlignment="1">
      <alignment vertical="center"/>
    </xf>
    <xf numFmtId="15" fontId="2" fillId="0" borderId="1" xfId="0" applyNumberFormat="1" applyFont="1" applyBorder="1" applyAlignment="1">
      <alignment horizontal="left" vertical="center"/>
    </xf>
    <xf numFmtId="0" fontId="2" fillId="2" borderId="1" xfId="0" quotePrefix="1" applyFont="1" applyFill="1" applyBorder="1" applyAlignment="1">
      <alignment horizontal="center"/>
    </xf>
    <xf numFmtId="0" fontId="2" fillId="2" borderId="2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1" fontId="2" fillId="2" borderId="1" xfId="0" applyNumberFormat="1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vertical="center"/>
    </xf>
    <xf numFmtId="15" fontId="2" fillId="2" borderId="1" xfId="0" applyNumberFormat="1" applyFont="1" applyFill="1" applyBorder="1" applyAlignment="1">
      <alignment horizontal="left" vertical="center"/>
    </xf>
    <xf numFmtId="164" fontId="2" fillId="0" borderId="1" xfId="0" applyNumberFormat="1" applyFont="1" applyBorder="1" applyAlignment="1">
      <alignment horizontal="left" vertical="center"/>
    </xf>
    <xf numFmtId="15" fontId="10" fillId="0" borderId="1" xfId="0" applyNumberFormat="1" applyFont="1" applyBorder="1" applyAlignment="1">
      <alignment horizontal="left" vertical="center"/>
    </xf>
    <xf numFmtId="0" fontId="2" fillId="0" borderId="1" xfId="0" quotePrefix="1" applyFont="1" applyBorder="1" applyAlignment="1">
      <alignment horizontal="center" vertical="center"/>
    </xf>
  </cellXfs>
  <cellStyles count="7">
    <cellStyle name="Comma" xfId="1" builtinId="3"/>
    <cellStyle name="Comma 2" xfId="5" xr:uid="{47CB314D-517C-4511-9392-2B56C676A93F}"/>
    <cellStyle name="Comma 3" xfId="6" xr:uid="{AF59ECBD-2682-4BC5-9B6A-E92EBC14D6E1}"/>
    <cellStyle name="Comma 4" xfId="3" xr:uid="{C94B8CCA-995A-4F65-A8DD-88EDBF76E6CC}"/>
    <cellStyle name="Normal" xfId="0" builtinId="0"/>
    <cellStyle name="Normal 2" xfId="4" xr:uid="{6BF8C1A2-D88C-4B94-96BD-AD90F2D27FDE}"/>
    <cellStyle name="Normal 3" xfId="2" xr:uid="{CCEF05C9-9D48-4A9D-B2FA-F7A0D350303A}"/>
  </cellStyles>
  <dxfs count="46"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BCA5E3-97E0-435A-BC12-C62B888D4A7B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E9F10-F9E8-4651-B914-8DB3D3775FDB}">
  <sheetPr codeName="Sheet1">
    <tabColor rgb="FFFF0000"/>
  </sheetPr>
  <dimension ref="A2:X112"/>
  <sheetViews>
    <sheetView tabSelected="1" topLeftCell="A64" workbookViewId="0">
      <selection activeCell="A70" sqref="A70:X112"/>
    </sheetView>
  </sheetViews>
  <sheetFormatPr defaultRowHeight="14.4" x14ac:dyDescent="0.3"/>
  <cols>
    <col min="2" max="2" width="8.109375" bestFit="1" customWidth="1"/>
    <col min="4" max="4" width="37.88671875" bestFit="1" customWidth="1"/>
    <col min="5" max="5" width="12.33203125" bestFit="1" customWidth="1"/>
    <col min="6" max="6" width="37" bestFit="1" customWidth="1"/>
    <col min="8" max="8" width="16.77734375" customWidth="1"/>
    <col min="9" max="9" width="18.44140625" bestFit="1" customWidth="1"/>
    <col min="12" max="12" width="16.6640625" bestFit="1" customWidth="1"/>
    <col min="13" max="13" width="18.44140625" bestFit="1" customWidth="1"/>
    <col min="14" max="14" width="24.77734375" bestFit="1" customWidth="1"/>
    <col min="15" max="15" width="25.33203125" customWidth="1"/>
    <col min="16" max="16" width="20.77734375" bestFit="1" customWidth="1"/>
    <col min="17" max="17" width="16.6640625" bestFit="1" customWidth="1"/>
    <col min="22" max="22" width="16" customWidth="1"/>
    <col min="23" max="23" width="72.6640625" customWidth="1"/>
  </cols>
  <sheetData>
    <row r="2" spans="1:24" ht="15" x14ac:dyDescent="0.3">
      <c r="A2" s="4">
        <v>1</v>
      </c>
      <c r="B2" s="4">
        <v>7318</v>
      </c>
      <c r="C2" s="3" t="s">
        <v>35</v>
      </c>
      <c r="D2" s="3" t="s">
        <v>41</v>
      </c>
      <c r="E2" s="10">
        <v>31886</v>
      </c>
      <c r="F2" s="11" t="s">
        <v>42</v>
      </c>
      <c r="G2" s="11" t="s">
        <v>1</v>
      </c>
      <c r="H2" s="11" t="s">
        <v>43</v>
      </c>
      <c r="I2" s="1" t="s">
        <v>44</v>
      </c>
      <c r="J2" s="3"/>
      <c r="K2" s="3"/>
      <c r="L2" s="3"/>
      <c r="M2" s="12" t="s">
        <v>45</v>
      </c>
      <c r="N2" s="13"/>
      <c r="O2" s="14"/>
      <c r="P2" s="15">
        <v>32439656172</v>
      </c>
      <c r="Q2" s="11" t="s">
        <v>3</v>
      </c>
      <c r="R2" s="3">
        <v>31</v>
      </c>
      <c r="S2" s="2">
        <f t="shared" ref="S2:S65" si="0">IF(RIGHT(C2,3)="MAZ",550,IF(RIGHT(C2,4)="MATE",570,IF(RIGHT(C2,7)="SKD-III",640,IF(RIGHT(C2,6)="SKD-II",770,IF(RIGHT(C2,5)="SKD-I",900,IF(RIGHT(C2,5)="CPDVR",770,""))))))</f>
        <v>900</v>
      </c>
      <c r="T2" s="2">
        <f t="shared" ref="T2:T65" si="1">S2*R2</f>
        <v>27900</v>
      </c>
      <c r="U2" s="11"/>
      <c r="V2" s="16" t="s">
        <v>4</v>
      </c>
      <c r="W2" s="5" t="s">
        <v>46</v>
      </c>
      <c r="X2" s="6"/>
    </row>
    <row r="3" spans="1:24" ht="15" x14ac:dyDescent="0.3">
      <c r="A3" s="4">
        <v>2</v>
      </c>
      <c r="B3" s="4">
        <v>7138</v>
      </c>
      <c r="C3" s="3" t="s">
        <v>9</v>
      </c>
      <c r="D3" s="3" t="s">
        <v>10</v>
      </c>
      <c r="E3" s="10" t="s">
        <v>11</v>
      </c>
      <c r="F3" s="11" t="s">
        <v>12</v>
      </c>
      <c r="G3" s="11" t="s">
        <v>1</v>
      </c>
      <c r="H3" s="11" t="s">
        <v>13</v>
      </c>
      <c r="I3" s="1" t="s">
        <v>14</v>
      </c>
      <c r="J3" s="3"/>
      <c r="K3" s="3"/>
      <c r="L3" s="3"/>
      <c r="M3" s="12"/>
      <c r="N3" s="13"/>
      <c r="O3" s="14" t="s">
        <v>15</v>
      </c>
      <c r="P3" s="15">
        <v>34662799234</v>
      </c>
      <c r="Q3" s="11" t="s">
        <v>16</v>
      </c>
      <c r="R3" s="3">
        <v>31</v>
      </c>
      <c r="S3" s="2">
        <f t="shared" si="0"/>
        <v>770</v>
      </c>
      <c r="T3" s="2">
        <f t="shared" si="1"/>
        <v>23870</v>
      </c>
      <c r="U3" s="11"/>
      <c r="V3" s="16" t="s">
        <v>4</v>
      </c>
      <c r="W3" s="5" t="s">
        <v>17</v>
      </c>
      <c r="X3" s="6"/>
    </row>
    <row r="4" spans="1:24" ht="15" x14ac:dyDescent="0.3">
      <c r="A4" s="4">
        <v>3</v>
      </c>
      <c r="B4" s="4">
        <v>7931</v>
      </c>
      <c r="C4" s="3" t="s">
        <v>35</v>
      </c>
      <c r="D4" s="3" t="s">
        <v>47</v>
      </c>
      <c r="E4" s="10">
        <v>38515</v>
      </c>
      <c r="F4" s="11" t="s">
        <v>48</v>
      </c>
      <c r="G4" s="11" t="s">
        <v>1</v>
      </c>
      <c r="H4" s="11" t="s">
        <v>49</v>
      </c>
      <c r="I4" s="1">
        <v>823681065188</v>
      </c>
      <c r="J4" s="3"/>
      <c r="K4" s="3"/>
      <c r="L4" s="3"/>
      <c r="M4" s="12"/>
      <c r="N4" s="13"/>
      <c r="O4" s="14" t="s">
        <v>2</v>
      </c>
      <c r="P4" s="15">
        <v>97015104390</v>
      </c>
      <c r="Q4" s="11" t="s">
        <v>6</v>
      </c>
      <c r="R4" s="3">
        <v>31</v>
      </c>
      <c r="S4" s="2">
        <f t="shared" si="0"/>
        <v>900</v>
      </c>
      <c r="T4" s="2">
        <f t="shared" si="1"/>
        <v>27900</v>
      </c>
      <c r="U4" s="11"/>
      <c r="V4" s="16" t="s">
        <v>4</v>
      </c>
      <c r="W4" s="5" t="s">
        <v>5</v>
      </c>
      <c r="X4" s="6"/>
    </row>
    <row r="5" spans="1:24" ht="15" x14ac:dyDescent="0.3">
      <c r="A5" s="4">
        <v>4</v>
      </c>
      <c r="B5" s="4">
        <v>8108</v>
      </c>
      <c r="C5" s="3" t="s">
        <v>0</v>
      </c>
      <c r="D5" s="3" t="s">
        <v>52</v>
      </c>
      <c r="E5" s="10">
        <v>29471</v>
      </c>
      <c r="F5" s="11" t="s">
        <v>53</v>
      </c>
      <c r="G5" s="11" t="s">
        <v>1</v>
      </c>
      <c r="H5" s="11" t="s">
        <v>54</v>
      </c>
      <c r="I5" s="1">
        <v>946304929386</v>
      </c>
      <c r="J5" s="3"/>
      <c r="K5" s="3"/>
      <c r="L5" s="3"/>
      <c r="M5" s="12" t="s">
        <v>55</v>
      </c>
      <c r="N5" s="13"/>
      <c r="O5" s="14"/>
      <c r="P5" s="15">
        <v>20127300194</v>
      </c>
      <c r="Q5" s="11" t="s">
        <v>3</v>
      </c>
      <c r="R5" s="3">
        <v>31</v>
      </c>
      <c r="S5" s="2">
        <f t="shared" si="0"/>
        <v>550</v>
      </c>
      <c r="T5" s="2">
        <f t="shared" si="1"/>
        <v>17050</v>
      </c>
      <c r="U5" s="11"/>
      <c r="V5" s="16" t="s">
        <v>4</v>
      </c>
      <c r="W5" s="5" t="s">
        <v>8</v>
      </c>
      <c r="X5" s="6"/>
    </row>
    <row r="6" spans="1:24" ht="15" x14ac:dyDescent="0.3">
      <c r="A6" s="4">
        <v>5</v>
      </c>
      <c r="B6" s="4">
        <v>8109</v>
      </c>
      <c r="C6" s="3" t="s">
        <v>0</v>
      </c>
      <c r="D6" s="3" t="s">
        <v>56</v>
      </c>
      <c r="E6" s="10">
        <v>32843</v>
      </c>
      <c r="F6" s="11" t="s">
        <v>57</v>
      </c>
      <c r="G6" s="11" t="s">
        <v>1</v>
      </c>
      <c r="H6" s="11" t="s">
        <v>58</v>
      </c>
      <c r="I6" s="1">
        <v>615034268449</v>
      </c>
      <c r="J6" s="3"/>
      <c r="K6" s="3"/>
      <c r="L6" s="3"/>
      <c r="M6" s="12" t="s">
        <v>59</v>
      </c>
      <c r="N6" s="13"/>
      <c r="O6" s="14"/>
      <c r="P6" s="15">
        <v>20180526901</v>
      </c>
      <c r="Q6" s="11" t="s">
        <v>3</v>
      </c>
      <c r="R6" s="3">
        <v>31</v>
      </c>
      <c r="S6" s="2">
        <f t="shared" si="0"/>
        <v>550</v>
      </c>
      <c r="T6" s="2">
        <f t="shared" si="1"/>
        <v>17050</v>
      </c>
      <c r="U6" s="11"/>
      <c r="V6" s="16" t="s">
        <v>4</v>
      </c>
      <c r="W6" s="5" t="s">
        <v>8</v>
      </c>
      <c r="X6" s="6"/>
    </row>
    <row r="7" spans="1:24" ht="15" x14ac:dyDescent="0.3">
      <c r="A7" s="4">
        <v>6</v>
      </c>
      <c r="B7" s="4">
        <v>8171</v>
      </c>
      <c r="C7" s="3" t="s">
        <v>0</v>
      </c>
      <c r="D7" s="3" t="s">
        <v>60</v>
      </c>
      <c r="E7" s="10">
        <v>28954</v>
      </c>
      <c r="F7" s="11" t="s">
        <v>61</v>
      </c>
      <c r="G7" s="11" t="s">
        <v>1</v>
      </c>
      <c r="H7" s="11" t="s">
        <v>62</v>
      </c>
      <c r="I7" s="1" t="s">
        <v>63</v>
      </c>
      <c r="J7" s="3"/>
      <c r="K7" s="3"/>
      <c r="L7" s="3"/>
      <c r="M7" s="12" t="s">
        <v>64</v>
      </c>
      <c r="N7" s="13"/>
      <c r="O7" s="14"/>
      <c r="P7" s="15">
        <v>97017332915</v>
      </c>
      <c r="Q7" s="11" t="s">
        <v>6</v>
      </c>
      <c r="R7" s="3">
        <v>31</v>
      </c>
      <c r="S7" s="2">
        <f t="shared" si="0"/>
        <v>550</v>
      </c>
      <c r="T7" s="2">
        <f t="shared" si="1"/>
        <v>17050</v>
      </c>
      <c r="U7" s="11"/>
      <c r="V7" s="16" t="s">
        <v>4</v>
      </c>
      <c r="W7" s="28">
        <v>46080</v>
      </c>
      <c r="X7" s="6"/>
    </row>
    <row r="8" spans="1:24" ht="15" x14ac:dyDescent="0.3">
      <c r="A8" s="4">
        <v>7</v>
      </c>
      <c r="B8" s="4">
        <v>7656</v>
      </c>
      <c r="C8" s="3" t="s">
        <v>0</v>
      </c>
      <c r="D8" s="3" t="s">
        <v>65</v>
      </c>
      <c r="E8" s="10">
        <v>35796</v>
      </c>
      <c r="F8" s="11" t="s">
        <v>66</v>
      </c>
      <c r="G8" s="11" t="s">
        <v>1</v>
      </c>
      <c r="H8" s="11" t="s">
        <v>67</v>
      </c>
      <c r="I8" s="1" t="s">
        <v>68</v>
      </c>
      <c r="J8" s="3">
        <v>0</v>
      </c>
      <c r="K8" s="3">
        <v>0</v>
      </c>
      <c r="L8" s="3">
        <v>0</v>
      </c>
      <c r="M8" s="12">
        <v>0</v>
      </c>
      <c r="N8" s="13">
        <v>0</v>
      </c>
      <c r="O8" s="14"/>
      <c r="P8" s="15">
        <v>32698367831</v>
      </c>
      <c r="Q8" s="11" t="s">
        <v>38</v>
      </c>
      <c r="R8" s="3">
        <v>31</v>
      </c>
      <c r="S8" s="2">
        <f t="shared" si="0"/>
        <v>550</v>
      </c>
      <c r="T8" s="2">
        <f t="shared" si="1"/>
        <v>17050</v>
      </c>
      <c r="U8" s="11"/>
      <c r="V8" s="16" t="s">
        <v>4</v>
      </c>
      <c r="W8" s="5">
        <v>45941</v>
      </c>
      <c r="X8" s="6"/>
    </row>
    <row r="9" spans="1:24" ht="15" x14ac:dyDescent="0.3">
      <c r="A9" s="4">
        <v>8</v>
      </c>
      <c r="B9" s="4">
        <v>7814</v>
      </c>
      <c r="C9" s="3" t="s">
        <v>0</v>
      </c>
      <c r="D9" s="3" t="s">
        <v>69</v>
      </c>
      <c r="E9" s="10">
        <v>34335</v>
      </c>
      <c r="F9" s="11" t="s">
        <v>70</v>
      </c>
      <c r="G9" s="11" t="s">
        <v>1</v>
      </c>
      <c r="H9" s="11" t="s">
        <v>71</v>
      </c>
      <c r="I9" s="1" t="s">
        <v>72</v>
      </c>
      <c r="J9" s="3"/>
      <c r="K9" s="3"/>
      <c r="L9" s="3"/>
      <c r="M9" s="12" t="s">
        <v>73</v>
      </c>
      <c r="N9" s="13"/>
      <c r="O9" s="14" t="s">
        <v>30</v>
      </c>
      <c r="P9" s="15">
        <v>38942824607</v>
      </c>
      <c r="Q9" s="11" t="s">
        <v>40</v>
      </c>
      <c r="R9" s="3">
        <v>23</v>
      </c>
      <c r="S9" s="2">
        <f t="shared" si="0"/>
        <v>550</v>
      </c>
      <c r="T9" s="2">
        <f t="shared" si="1"/>
        <v>12650</v>
      </c>
      <c r="U9" s="11"/>
      <c r="V9" s="16" t="s">
        <v>355</v>
      </c>
      <c r="W9" s="5">
        <v>45982</v>
      </c>
      <c r="X9" s="6"/>
    </row>
    <row r="10" spans="1:24" ht="15" x14ac:dyDescent="0.3">
      <c r="A10" s="4">
        <v>9</v>
      </c>
      <c r="B10" s="4">
        <v>8234</v>
      </c>
      <c r="C10" s="3" t="s">
        <v>0</v>
      </c>
      <c r="D10" s="3" t="s">
        <v>74</v>
      </c>
      <c r="E10" s="10">
        <v>30317</v>
      </c>
      <c r="F10" s="11" t="s">
        <v>75</v>
      </c>
      <c r="G10" s="11" t="s">
        <v>22</v>
      </c>
      <c r="H10" s="11" t="s">
        <v>76</v>
      </c>
      <c r="I10" s="1" t="s">
        <v>77</v>
      </c>
      <c r="J10" s="3"/>
      <c r="K10" s="3"/>
      <c r="L10" s="3"/>
      <c r="M10" s="12" t="s">
        <v>78</v>
      </c>
      <c r="N10" s="13"/>
      <c r="O10" s="14"/>
      <c r="P10" s="15">
        <v>97017506869</v>
      </c>
      <c r="Q10" s="11" t="s">
        <v>6</v>
      </c>
      <c r="R10" s="3">
        <v>31</v>
      </c>
      <c r="S10" s="2">
        <f t="shared" si="0"/>
        <v>550</v>
      </c>
      <c r="T10" s="2">
        <f t="shared" si="1"/>
        <v>17050</v>
      </c>
      <c r="U10" s="11"/>
      <c r="V10" s="16" t="s">
        <v>29</v>
      </c>
      <c r="W10" s="5">
        <v>46155</v>
      </c>
      <c r="X10" s="6"/>
    </row>
    <row r="11" spans="1:24" ht="15" x14ac:dyDescent="0.3">
      <c r="A11" s="4">
        <v>10</v>
      </c>
      <c r="B11" s="4">
        <v>8235</v>
      </c>
      <c r="C11" s="3" t="s">
        <v>0</v>
      </c>
      <c r="D11" s="3" t="s">
        <v>48</v>
      </c>
      <c r="E11" s="10">
        <v>32063</v>
      </c>
      <c r="F11" s="11" t="s">
        <v>24</v>
      </c>
      <c r="G11" s="11" t="s">
        <v>1</v>
      </c>
      <c r="H11" s="11" t="s">
        <v>79</v>
      </c>
      <c r="I11" s="1" t="s">
        <v>80</v>
      </c>
      <c r="J11" s="3"/>
      <c r="K11" s="3"/>
      <c r="L11" s="3"/>
      <c r="M11" s="12" t="s">
        <v>81</v>
      </c>
      <c r="N11" s="13"/>
      <c r="O11" s="14"/>
      <c r="P11" s="15">
        <v>97015128594</v>
      </c>
      <c r="Q11" s="11" t="s">
        <v>6</v>
      </c>
      <c r="R11" s="3">
        <v>31</v>
      </c>
      <c r="S11" s="2">
        <f t="shared" si="0"/>
        <v>550</v>
      </c>
      <c r="T11" s="2">
        <f t="shared" si="1"/>
        <v>17050</v>
      </c>
      <c r="U11" s="11"/>
      <c r="V11" s="16" t="s">
        <v>29</v>
      </c>
      <c r="W11" s="5">
        <v>46156</v>
      </c>
      <c r="X11" s="6"/>
    </row>
    <row r="12" spans="1:24" ht="15" x14ac:dyDescent="0.3">
      <c r="A12" s="4">
        <v>11</v>
      </c>
      <c r="B12" s="4">
        <v>8236</v>
      </c>
      <c r="C12" s="3" t="s">
        <v>0</v>
      </c>
      <c r="D12" s="3" t="s">
        <v>39</v>
      </c>
      <c r="E12" s="10">
        <v>38353</v>
      </c>
      <c r="F12" s="11" t="s">
        <v>82</v>
      </c>
      <c r="G12" s="11" t="s">
        <v>1</v>
      </c>
      <c r="H12" s="11" t="s">
        <v>83</v>
      </c>
      <c r="I12" s="1" t="s">
        <v>84</v>
      </c>
      <c r="J12" s="3"/>
      <c r="K12" s="3"/>
      <c r="L12" s="3"/>
      <c r="M12" s="12" t="s">
        <v>85</v>
      </c>
      <c r="N12" s="13"/>
      <c r="O12" s="14"/>
      <c r="P12" s="15">
        <v>97016869393</v>
      </c>
      <c r="Q12" s="11" t="s">
        <v>6</v>
      </c>
      <c r="R12" s="3">
        <v>31</v>
      </c>
      <c r="S12" s="2">
        <f t="shared" si="0"/>
        <v>550</v>
      </c>
      <c r="T12" s="2">
        <f t="shared" si="1"/>
        <v>17050</v>
      </c>
      <c r="U12" s="11"/>
      <c r="V12" s="16" t="s">
        <v>29</v>
      </c>
      <c r="W12" s="5">
        <v>46156</v>
      </c>
      <c r="X12" s="6"/>
    </row>
    <row r="13" spans="1:24" ht="15" x14ac:dyDescent="0.3">
      <c r="A13" s="4">
        <v>12</v>
      </c>
      <c r="B13" s="4">
        <v>8237</v>
      </c>
      <c r="C13" s="3" t="s">
        <v>0</v>
      </c>
      <c r="D13" s="3" t="s">
        <v>86</v>
      </c>
      <c r="E13" s="10">
        <v>32327</v>
      </c>
      <c r="F13" s="11" t="s">
        <v>87</v>
      </c>
      <c r="G13" s="11" t="s">
        <v>1</v>
      </c>
      <c r="H13" s="11" t="s">
        <v>88</v>
      </c>
      <c r="I13" s="1" t="s">
        <v>89</v>
      </c>
      <c r="J13" s="3"/>
      <c r="K13" s="3"/>
      <c r="L13" s="3"/>
      <c r="M13" s="12" t="s">
        <v>90</v>
      </c>
      <c r="N13" s="13"/>
      <c r="O13" s="14"/>
      <c r="P13" s="15">
        <v>31764206593</v>
      </c>
      <c r="Q13" s="11" t="s">
        <v>3</v>
      </c>
      <c r="R13" s="3">
        <v>0</v>
      </c>
      <c r="S13" s="2">
        <f t="shared" si="0"/>
        <v>550</v>
      </c>
      <c r="T13" s="2">
        <f t="shared" si="1"/>
        <v>0</v>
      </c>
      <c r="U13" s="11"/>
      <c r="V13" s="16" t="s">
        <v>29</v>
      </c>
      <c r="W13" s="5">
        <v>46156</v>
      </c>
      <c r="X13" s="5">
        <v>46199</v>
      </c>
    </row>
    <row r="14" spans="1:24" ht="15" x14ac:dyDescent="0.3">
      <c r="A14" s="4">
        <v>13</v>
      </c>
      <c r="B14" s="4">
        <v>7909</v>
      </c>
      <c r="C14" s="3" t="s">
        <v>0</v>
      </c>
      <c r="D14" s="3" t="s">
        <v>91</v>
      </c>
      <c r="E14" s="10" t="s">
        <v>92</v>
      </c>
      <c r="F14" s="11" t="s">
        <v>93</v>
      </c>
      <c r="G14" s="11" t="s">
        <v>1</v>
      </c>
      <c r="H14" s="11" t="s">
        <v>94</v>
      </c>
      <c r="I14" s="1">
        <v>376861615980</v>
      </c>
      <c r="J14" s="3"/>
      <c r="K14" s="3"/>
      <c r="L14" s="3"/>
      <c r="M14" s="12"/>
      <c r="N14" s="13"/>
      <c r="O14" s="14" t="s">
        <v>2</v>
      </c>
      <c r="P14" s="15">
        <v>20127286861</v>
      </c>
      <c r="Q14" s="11" t="s">
        <v>3</v>
      </c>
      <c r="R14" s="3">
        <v>31</v>
      </c>
      <c r="S14" s="2">
        <f t="shared" si="0"/>
        <v>550</v>
      </c>
      <c r="T14" s="2">
        <f t="shared" si="1"/>
        <v>17050</v>
      </c>
      <c r="U14" s="11"/>
      <c r="V14" s="16" t="s">
        <v>4</v>
      </c>
      <c r="W14" s="5" t="s">
        <v>5</v>
      </c>
      <c r="X14" s="6"/>
    </row>
    <row r="15" spans="1:24" ht="15" x14ac:dyDescent="0.3">
      <c r="A15" s="4">
        <v>14</v>
      </c>
      <c r="B15" s="4">
        <v>7910</v>
      </c>
      <c r="C15" s="3" t="s">
        <v>0</v>
      </c>
      <c r="D15" s="3" t="s">
        <v>95</v>
      </c>
      <c r="E15" s="10" t="s">
        <v>37</v>
      </c>
      <c r="F15" s="11" t="s">
        <v>96</v>
      </c>
      <c r="G15" s="11" t="s">
        <v>1</v>
      </c>
      <c r="H15" s="11" t="s">
        <v>97</v>
      </c>
      <c r="I15" s="1">
        <v>451597511773</v>
      </c>
      <c r="J15" s="3"/>
      <c r="K15" s="3"/>
      <c r="L15" s="3"/>
      <c r="M15" s="12"/>
      <c r="N15" s="13"/>
      <c r="O15" s="14" t="s">
        <v>2</v>
      </c>
      <c r="P15" s="15">
        <v>11848815577</v>
      </c>
      <c r="Q15" s="11" t="s">
        <v>32</v>
      </c>
      <c r="R15" s="3">
        <v>31</v>
      </c>
      <c r="S15" s="2">
        <f t="shared" si="0"/>
        <v>550</v>
      </c>
      <c r="T15" s="2">
        <f t="shared" si="1"/>
        <v>17050</v>
      </c>
      <c r="U15" s="11"/>
      <c r="V15" s="16" t="s">
        <v>4</v>
      </c>
      <c r="W15" s="5" t="s">
        <v>5</v>
      </c>
      <c r="X15" s="6"/>
    </row>
    <row r="16" spans="1:24" ht="15" x14ac:dyDescent="0.3">
      <c r="A16" s="4">
        <v>15</v>
      </c>
      <c r="B16" s="4">
        <v>7911</v>
      </c>
      <c r="C16" s="3" t="s">
        <v>0</v>
      </c>
      <c r="D16" s="3" t="s">
        <v>98</v>
      </c>
      <c r="E16" s="10" t="s">
        <v>99</v>
      </c>
      <c r="F16" s="11" t="s">
        <v>100</v>
      </c>
      <c r="G16" s="11" t="s">
        <v>1</v>
      </c>
      <c r="H16" s="11" t="s">
        <v>101</v>
      </c>
      <c r="I16" s="1">
        <v>299404599009</v>
      </c>
      <c r="J16" s="3"/>
      <c r="K16" s="3"/>
      <c r="L16" s="3"/>
      <c r="M16" s="12"/>
      <c r="N16" s="13"/>
      <c r="O16" s="14" t="s">
        <v>2</v>
      </c>
      <c r="P16" s="15">
        <v>20127301143</v>
      </c>
      <c r="Q16" s="11" t="s">
        <v>3</v>
      </c>
      <c r="R16" s="3">
        <v>31</v>
      </c>
      <c r="S16" s="2">
        <f t="shared" si="0"/>
        <v>550</v>
      </c>
      <c r="T16" s="2">
        <f t="shared" si="1"/>
        <v>17050</v>
      </c>
      <c r="U16" s="11"/>
      <c r="V16" s="16" t="s">
        <v>4</v>
      </c>
      <c r="W16" s="5" t="s">
        <v>5</v>
      </c>
      <c r="X16" s="6"/>
    </row>
    <row r="17" spans="1:24" ht="15" x14ac:dyDescent="0.3">
      <c r="A17" s="4">
        <v>16</v>
      </c>
      <c r="B17" s="4">
        <v>7912</v>
      </c>
      <c r="C17" s="3" t="s">
        <v>0</v>
      </c>
      <c r="D17" s="3" t="s">
        <v>102</v>
      </c>
      <c r="E17" s="10" t="s">
        <v>103</v>
      </c>
      <c r="F17" s="11" t="s">
        <v>104</v>
      </c>
      <c r="G17" s="11" t="s">
        <v>1</v>
      </c>
      <c r="H17" s="11" t="s">
        <v>105</v>
      </c>
      <c r="I17" s="1">
        <v>761948953480</v>
      </c>
      <c r="J17" s="3"/>
      <c r="K17" s="3"/>
      <c r="L17" s="3"/>
      <c r="M17" s="12"/>
      <c r="N17" s="13"/>
      <c r="O17" s="14" t="s">
        <v>2</v>
      </c>
      <c r="P17" s="15">
        <v>20127285711</v>
      </c>
      <c r="Q17" s="11" t="s">
        <v>3</v>
      </c>
      <c r="R17" s="3">
        <v>31</v>
      </c>
      <c r="S17" s="2">
        <f t="shared" si="0"/>
        <v>550</v>
      </c>
      <c r="T17" s="2">
        <f t="shared" si="1"/>
        <v>17050</v>
      </c>
      <c r="U17" s="11"/>
      <c r="V17" s="16" t="s">
        <v>4</v>
      </c>
      <c r="W17" s="5" t="s">
        <v>5</v>
      </c>
      <c r="X17" s="6"/>
    </row>
    <row r="18" spans="1:24" ht="15" x14ac:dyDescent="0.3">
      <c r="A18" s="4">
        <v>17</v>
      </c>
      <c r="B18" s="4">
        <v>7913</v>
      </c>
      <c r="C18" s="3" t="s">
        <v>0</v>
      </c>
      <c r="D18" s="3" t="s">
        <v>106</v>
      </c>
      <c r="E18" s="10">
        <v>32176</v>
      </c>
      <c r="F18" s="11" t="s">
        <v>107</v>
      </c>
      <c r="G18" s="11" t="s">
        <v>1</v>
      </c>
      <c r="H18" s="11" t="s">
        <v>108</v>
      </c>
      <c r="I18" s="1">
        <v>285619710029</v>
      </c>
      <c r="J18" s="3"/>
      <c r="K18" s="3"/>
      <c r="L18" s="3"/>
      <c r="M18" s="12"/>
      <c r="N18" s="13"/>
      <c r="O18" s="14" t="s">
        <v>2</v>
      </c>
      <c r="P18" s="15">
        <v>35944701107</v>
      </c>
      <c r="Q18" s="11" t="s">
        <v>19</v>
      </c>
      <c r="R18" s="3">
        <v>31</v>
      </c>
      <c r="S18" s="2">
        <f t="shared" si="0"/>
        <v>550</v>
      </c>
      <c r="T18" s="2">
        <f t="shared" si="1"/>
        <v>17050</v>
      </c>
      <c r="U18" s="11"/>
      <c r="V18" s="16" t="s">
        <v>4</v>
      </c>
      <c r="W18" s="5" t="s">
        <v>5</v>
      </c>
      <c r="X18" s="6"/>
    </row>
    <row r="19" spans="1:24" ht="15" x14ac:dyDescent="0.3">
      <c r="A19" s="4">
        <v>18</v>
      </c>
      <c r="B19" s="4">
        <v>7914</v>
      </c>
      <c r="C19" s="3" t="s">
        <v>0</v>
      </c>
      <c r="D19" s="3" t="s">
        <v>109</v>
      </c>
      <c r="E19" s="10" t="s">
        <v>110</v>
      </c>
      <c r="F19" s="11" t="s">
        <v>111</v>
      </c>
      <c r="G19" s="11" t="s">
        <v>1</v>
      </c>
      <c r="H19" s="11" t="s">
        <v>112</v>
      </c>
      <c r="I19" s="1">
        <v>457802162832</v>
      </c>
      <c r="J19" s="3"/>
      <c r="K19" s="3"/>
      <c r="L19" s="3"/>
      <c r="M19" s="12"/>
      <c r="N19" s="13"/>
      <c r="O19" s="14" t="s">
        <v>2</v>
      </c>
      <c r="P19" s="15">
        <v>34937474781</v>
      </c>
      <c r="Q19" s="11" t="s">
        <v>16</v>
      </c>
      <c r="R19" s="3">
        <v>31</v>
      </c>
      <c r="S19" s="2">
        <f t="shared" si="0"/>
        <v>550</v>
      </c>
      <c r="T19" s="2">
        <f t="shared" si="1"/>
        <v>17050</v>
      </c>
      <c r="U19" s="11"/>
      <c r="V19" s="16" t="s">
        <v>4</v>
      </c>
      <c r="W19" s="5" t="s">
        <v>5</v>
      </c>
      <c r="X19" s="6"/>
    </row>
    <row r="20" spans="1:24" ht="15" x14ac:dyDescent="0.3">
      <c r="A20" s="4">
        <v>19</v>
      </c>
      <c r="B20" s="4">
        <v>7554</v>
      </c>
      <c r="C20" s="3" t="s">
        <v>0</v>
      </c>
      <c r="D20" s="3" t="s">
        <v>113</v>
      </c>
      <c r="E20" s="10">
        <v>28679</v>
      </c>
      <c r="F20" s="11" t="s">
        <v>114</v>
      </c>
      <c r="G20" s="11" t="s">
        <v>22</v>
      </c>
      <c r="H20" s="11" t="s">
        <v>115</v>
      </c>
      <c r="I20" s="1" t="s">
        <v>116</v>
      </c>
      <c r="J20" s="3"/>
      <c r="K20" s="3"/>
      <c r="L20" s="3"/>
      <c r="M20" s="12" t="s">
        <v>117</v>
      </c>
      <c r="N20" s="13"/>
      <c r="O20" s="14" t="s">
        <v>21</v>
      </c>
      <c r="P20" s="15">
        <v>97016901305</v>
      </c>
      <c r="Q20" s="11" t="s">
        <v>6</v>
      </c>
      <c r="R20" s="3">
        <v>31</v>
      </c>
      <c r="S20" s="2">
        <f t="shared" si="0"/>
        <v>550</v>
      </c>
      <c r="T20" s="2">
        <f t="shared" si="1"/>
        <v>17050</v>
      </c>
      <c r="U20" s="11"/>
      <c r="V20" s="16" t="s">
        <v>4</v>
      </c>
      <c r="W20" s="5">
        <v>45910</v>
      </c>
      <c r="X20" s="6"/>
    </row>
    <row r="21" spans="1:24" s="27" customFormat="1" ht="15" x14ac:dyDescent="0.3">
      <c r="A21" s="17">
        <v>20</v>
      </c>
      <c r="B21" s="17">
        <v>7310</v>
      </c>
      <c r="C21" s="18" t="s">
        <v>0</v>
      </c>
      <c r="D21" s="18" t="s">
        <v>118</v>
      </c>
      <c r="E21" s="19">
        <v>29495</v>
      </c>
      <c r="F21" s="20" t="s">
        <v>119</v>
      </c>
      <c r="G21" s="20" t="s">
        <v>22</v>
      </c>
      <c r="H21" s="20" t="s">
        <v>120</v>
      </c>
      <c r="I21" s="7" t="s">
        <v>121</v>
      </c>
      <c r="J21" s="18"/>
      <c r="K21" s="18"/>
      <c r="L21" s="18"/>
      <c r="M21" s="21"/>
      <c r="N21" s="22"/>
      <c r="O21" s="23"/>
      <c r="P21" s="24">
        <v>35161240643</v>
      </c>
      <c r="Q21" s="20" t="s">
        <v>16</v>
      </c>
      <c r="R21" s="18">
        <v>31</v>
      </c>
      <c r="S21" s="9">
        <f t="shared" si="0"/>
        <v>550</v>
      </c>
      <c r="T21" s="9">
        <f t="shared" si="1"/>
        <v>17050</v>
      </c>
      <c r="U21" s="20">
        <f>SUM(T2:T21)</f>
        <v>348070</v>
      </c>
      <c r="V21" s="25" t="s">
        <v>4</v>
      </c>
      <c r="W21" s="26" t="s">
        <v>46</v>
      </c>
      <c r="X21" s="8"/>
    </row>
    <row r="22" spans="1:24" ht="15" x14ac:dyDescent="0.3">
      <c r="A22" s="4">
        <v>21</v>
      </c>
      <c r="B22" s="4">
        <v>7313</v>
      </c>
      <c r="C22" s="3" t="s">
        <v>0</v>
      </c>
      <c r="D22" s="3" t="s">
        <v>122</v>
      </c>
      <c r="E22" s="10">
        <v>30561</v>
      </c>
      <c r="F22" s="11" t="s">
        <v>123</v>
      </c>
      <c r="G22" s="11" t="s">
        <v>1</v>
      </c>
      <c r="H22" s="11" t="s">
        <v>124</v>
      </c>
      <c r="I22" s="1" t="s">
        <v>125</v>
      </c>
      <c r="J22" s="3"/>
      <c r="K22" s="3"/>
      <c r="L22" s="3"/>
      <c r="M22" s="12"/>
      <c r="N22" s="13"/>
      <c r="O22" s="14"/>
      <c r="P22" s="15">
        <v>20127300886</v>
      </c>
      <c r="Q22" s="11" t="s">
        <v>3</v>
      </c>
      <c r="R22" s="3">
        <v>31</v>
      </c>
      <c r="S22" s="2">
        <f t="shared" si="0"/>
        <v>550</v>
      </c>
      <c r="T22" s="2">
        <f t="shared" si="1"/>
        <v>17050</v>
      </c>
      <c r="U22" s="11"/>
      <c r="V22" s="16" t="s">
        <v>4</v>
      </c>
      <c r="W22" s="5" t="s">
        <v>46</v>
      </c>
      <c r="X22" s="6"/>
    </row>
    <row r="23" spans="1:24" ht="15" x14ac:dyDescent="0.3">
      <c r="A23" s="4">
        <v>22</v>
      </c>
      <c r="B23" s="4">
        <v>6862</v>
      </c>
      <c r="C23" s="3" t="s">
        <v>0</v>
      </c>
      <c r="D23" s="3" t="s">
        <v>126</v>
      </c>
      <c r="E23" s="10">
        <v>28243</v>
      </c>
      <c r="F23" s="11" t="s">
        <v>127</v>
      </c>
      <c r="G23" s="11" t="s">
        <v>22</v>
      </c>
      <c r="H23" s="11" t="s">
        <v>128</v>
      </c>
      <c r="I23" s="1" t="s">
        <v>129</v>
      </c>
      <c r="J23" s="3"/>
      <c r="K23" s="3"/>
      <c r="L23" s="3"/>
      <c r="M23" s="12" t="s">
        <v>130</v>
      </c>
      <c r="N23" s="13"/>
      <c r="O23" s="14" t="s">
        <v>36</v>
      </c>
      <c r="P23" s="15">
        <v>97014451073</v>
      </c>
      <c r="Q23" s="11" t="s">
        <v>6</v>
      </c>
      <c r="R23" s="3">
        <v>31</v>
      </c>
      <c r="S23" s="2">
        <f t="shared" si="0"/>
        <v>550</v>
      </c>
      <c r="T23" s="2">
        <f t="shared" si="1"/>
        <v>17050</v>
      </c>
      <c r="U23" s="11"/>
      <c r="V23" s="16" t="s">
        <v>4</v>
      </c>
      <c r="W23" s="5">
        <v>45391</v>
      </c>
      <c r="X23" s="6"/>
    </row>
    <row r="24" spans="1:24" ht="15" x14ac:dyDescent="0.3">
      <c r="A24" s="4">
        <v>23</v>
      </c>
      <c r="B24" s="4">
        <v>7030</v>
      </c>
      <c r="C24" s="3" t="s">
        <v>0</v>
      </c>
      <c r="D24" s="3" t="s">
        <v>131</v>
      </c>
      <c r="E24" s="10" t="s">
        <v>132</v>
      </c>
      <c r="F24" s="11" t="s">
        <v>133</v>
      </c>
      <c r="G24" s="11" t="s">
        <v>22</v>
      </c>
      <c r="H24" s="11" t="s">
        <v>134</v>
      </c>
      <c r="I24" s="1" t="s">
        <v>135</v>
      </c>
      <c r="J24" s="3"/>
      <c r="K24" s="3"/>
      <c r="L24" s="3"/>
      <c r="M24" s="12" t="s">
        <v>136</v>
      </c>
      <c r="N24" s="13"/>
      <c r="O24" s="14" t="s">
        <v>137</v>
      </c>
      <c r="P24" s="15">
        <v>42932001402</v>
      </c>
      <c r="Q24" s="11" t="s">
        <v>3</v>
      </c>
      <c r="R24" s="3">
        <v>31</v>
      </c>
      <c r="S24" s="2">
        <f t="shared" si="0"/>
        <v>550</v>
      </c>
      <c r="T24" s="2">
        <f t="shared" si="1"/>
        <v>17050</v>
      </c>
      <c r="U24" s="11"/>
      <c r="V24" s="16" t="s">
        <v>4</v>
      </c>
      <c r="W24" s="5">
        <v>45474</v>
      </c>
      <c r="X24" s="6"/>
    </row>
    <row r="25" spans="1:24" ht="15" x14ac:dyDescent="0.3">
      <c r="A25" s="4">
        <v>24</v>
      </c>
      <c r="B25" s="4">
        <v>7852</v>
      </c>
      <c r="C25" s="3" t="s">
        <v>0</v>
      </c>
      <c r="D25" s="3" t="s">
        <v>138</v>
      </c>
      <c r="E25" s="10">
        <v>38083</v>
      </c>
      <c r="F25" s="11" t="s">
        <v>51</v>
      </c>
      <c r="G25" s="11" t="s">
        <v>1</v>
      </c>
      <c r="H25" s="11" t="s">
        <v>139</v>
      </c>
      <c r="I25" s="1" t="s">
        <v>140</v>
      </c>
      <c r="J25" s="3"/>
      <c r="K25" s="3"/>
      <c r="L25" s="3"/>
      <c r="M25" s="12" t="s">
        <v>141</v>
      </c>
      <c r="N25" s="13"/>
      <c r="O25" s="14" t="s">
        <v>34</v>
      </c>
      <c r="P25" s="15">
        <v>97017216150</v>
      </c>
      <c r="Q25" s="11" t="s">
        <v>6</v>
      </c>
      <c r="R25" s="3">
        <v>31</v>
      </c>
      <c r="S25" s="2">
        <f t="shared" si="0"/>
        <v>550</v>
      </c>
      <c r="T25" s="2">
        <f t="shared" si="1"/>
        <v>17050</v>
      </c>
      <c r="U25" s="11"/>
      <c r="V25" s="16" t="s">
        <v>4</v>
      </c>
      <c r="W25" s="5">
        <v>46037</v>
      </c>
      <c r="X25" s="6"/>
    </row>
    <row r="26" spans="1:24" ht="15" x14ac:dyDescent="0.3">
      <c r="A26" s="4">
        <v>25</v>
      </c>
      <c r="B26" s="4">
        <v>7059</v>
      </c>
      <c r="C26" s="3" t="s">
        <v>33</v>
      </c>
      <c r="D26" s="3" t="s">
        <v>142</v>
      </c>
      <c r="E26" s="10" t="s">
        <v>143</v>
      </c>
      <c r="F26" s="11" t="s">
        <v>144</v>
      </c>
      <c r="G26" s="11" t="s">
        <v>1</v>
      </c>
      <c r="H26" s="11" t="s">
        <v>145</v>
      </c>
      <c r="I26" s="1" t="s">
        <v>146</v>
      </c>
      <c r="J26" s="3"/>
      <c r="K26" s="3"/>
      <c r="L26" s="3"/>
      <c r="M26" s="12" t="s">
        <v>147</v>
      </c>
      <c r="N26" s="13"/>
      <c r="O26" s="14" t="s">
        <v>28</v>
      </c>
      <c r="P26" s="15">
        <v>38618337331</v>
      </c>
      <c r="Q26" s="11" t="s">
        <v>148</v>
      </c>
      <c r="R26" s="3">
        <v>31</v>
      </c>
      <c r="S26" s="2">
        <f t="shared" si="0"/>
        <v>770</v>
      </c>
      <c r="T26" s="2">
        <f t="shared" si="1"/>
        <v>23870</v>
      </c>
      <c r="U26" s="11"/>
      <c r="V26" s="16" t="s">
        <v>4</v>
      </c>
      <c r="W26" s="5">
        <v>45513</v>
      </c>
      <c r="X26" s="6"/>
    </row>
    <row r="27" spans="1:24" ht="15" x14ac:dyDescent="0.3">
      <c r="A27" s="4">
        <v>26</v>
      </c>
      <c r="B27" s="4">
        <v>7314</v>
      </c>
      <c r="C27" s="3" t="s">
        <v>0</v>
      </c>
      <c r="D27" s="3" t="s">
        <v>149</v>
      </c>
      <c r="E27" s="10">
        <v>34634</v>
      </c>
      <c r="F27" s="11" t="s">
        <v>150</v>
      </c>
      <c r="G27" s="11" t="s">
        <v>1</v>
      </c>
      <c r="H27" s="11" t="s">
        <v>151</v>
      </c>
      <c r="I27" s="1" t="s">
        <v>152</v>
      </c>
      <c r="J27" s="3"/>
      <c r="K27" s="3"/>
      <c r="L27" s="3"/>
      <c r="M27" s="12"/>
      <c r="N27" s="13"/>
      <c r="O27" s="14"/>
      <c r="P27" s="15">
        <v>97015786950</v>
      </c>
      <c r="Q27" s="11" t="s">
        <v>6</v>
      </c>
      <c r="R27" s="3">
        <v>31</v>
      </c>
      <c r="S27" s="2">
        <f t="shared" si="0"/>
        <v>550</v>
      </c>
      <c r="T27" s="2">
        <f t="shared" si="1"/>
        <v>17050</v>
      </c>
      <c r="U27" s="11"/>
      <c r="V27" s="16" t="s">
        <v>4</v>
      </c>
      <c r="W27" s="5" t="s">
        <v>46</v>
      </c>
      <c r="X27" s="6"/>
    </row>
    <row r="28" spans="1:24" ht="15" x14ac:dyDescent="0.3">
      <c r="A28" s="4">
        <v>27</v>
      </c>
      <c r="B28" s="4">
        <v>6725</v>
      </c>
      <c r="C28" s="3" t="s">
        <v>7</v>
      </c>
      <c r="D28" s="3" t="s">
        <v>153</v>
      </c>
      <c r="E28" s="10">
        <v>30015</v>
      </c>
      <c r="F28" s="11" t="s">
        <v>154</v>
      </c>
      <c r="G28" s="11" t="s">
        <v>1</v>
      </c>
      <c r="H28" s="11" t="s">
        <v>155</v>
      </c>
      <c r="I28" s="1" t="s">
        <v>156</v>
      </c>
      <c r="J28" s="3"/>
      <c r="K28" s="3"/>
      <c r="L28" s="3"/>
      <c r="M28" s="12"/>
      <c r="N28" s="13"/>
      <c r="O28" s="14" t="s">
        <v>157</v>
      </c>
      <c r="P28" s="15">
        <v>20127301074</v>
      </c>
      <c r="Q28" s="11" t="s">
        <v>16</v>
      </c>
      <c r="R28" s="3">
        <v>31</v>
      </c>
      <c r="S28" s="2">
        <f t="shared" si="0"/>
        <v>640</v>
      </c>
      <c r="T28" s="2">
        <f t="shared" si="1"/>
        <v>19840</v>
      </c>
      <c r="U28" s="11"/>
      <c r="V28" s="16" t="s">
        <v>4</v>
      </c>
      <c r="W28" s="5">
        <v>45334</v>
      </c>
      <c r="X28" s="6"/>
    </row>
    <row r="29" spans="1:24" ht="15" x14ac:dyDescent="0.3">
      <c r="A29" s="4">
        <v>28</v>
      </c>
      <c r="B29" s="4">
        <v>6715</v>
      </c>
      <c r="C29" s="3" t="s">
        <v>18</v>
      </c>
      <c r="D29" s="3" t="s">
        <v>158</v>
      </c>
      <c r="E29" s="10">
        <v>32149</v>
      </c>
      <c r="F29" s="11" t="s">
        <v>159</v>
      </c>
      <c r="G29" s="11" t="s">
        <v>1</v>
      </c>
      <c r="H29" s="11" t="s">
        <v>160</v>
      </c>
      <c r="I29" s="1" t="s">
        <v>161</v>
      </c>
      <c r="J29" s="3"/>
      <c r="K29" s="3"/>
      <c r="L29" s="3"/>
      <c r="M29" s="12"/>
      <c r="N29" s="13"/>
      <c r="O29" s="14" t="s">
        <v>162</v>
      </c>
      <c r="P29" s="15">
        <v>35307385472</v>
      </c>
      <c r="Q29" s="11" t="s">
        <v>16</v>
      </c>
      <c r="R29" s="3">
        <v>31</v>
      </c>
      <c r="S29" s="2">
        <f t="shared" si="0"/>
        <v>570</v>
      </c>
      <c r="T29" s="2">
        <f t="shared" si="1"/>
        <v>17670</v>
      </c>
      <c r="U29" s="11"/>
      <c r="V29" s="16" t="s">
        <v>4</v>
      </c>
      <c r="W29" s="5">
        <v>45334</v>
      </c>
      <c r="X29" s="6"/>
    </row>
    <row r="30" spans="1:24" ht="15" x14ac:dyDescent="0.3">
      <c r="A30" s="4">
        <v>29</v>
      </c>
      <c r="B30" s="4">
        <v>7316</v>
      </c>
      <c r="C30" s="3" t="s">
        <v>0</v>
      </c>
      <c r="D30" s="3" t="s">
        <v>163</v>
      </c>
      <c r="E30" s="10">
        <v>32143</v>
      </c>
      <c r="F30" s="11" t="s">
        <v>164</v>
      </c>
      <c r="G30" s="11" t="s">
        <v>1</v>
      </c>
      <c r="H30" s="11" t="s">
        <v>165</v>
      </c>
      <c r="I30" s="1" t="s">
        <v>166</v>
      </c>
      <c r="J30" s="3"/>
      <c r="K30" s="3"/>
      <c r="L30" s="3"/>
      <c r="M30" s="12"/>
      <c r="N30" s="13"/>
      <c r="O30" s="14"/>
      <c r="P30" s="15">
        <v>20055576344</v>
      </c>
      <c r="Q30" s="11" t="s">
        <v>27</v>
      </c>
      <c r="R30" s="3">
        <v>31</v>
      </c>
      <c r="S30" s="2">
        <f t="shared" si="0"/>
        <v>550</v>
      </c>
      <c r="T30" s="2">
        <f t="shared" si="1"/>
        <v>17050</v>
      </c>
      <c r="U30" s="11"/>
      <c r="V30" s="16" t="s">
        <v>4</v>
      </c>
      <c r="W30" s="5" t="s">
        <v>46</v>
      </c>
      <c r="X30" s="6"/>
    </row>
    <row r="31" spans="1:24" ht="15" x14ac:dyDescent="0.3">
      <c r="A31" s="4">
        <v>30</v>
      </c>
      <c r="B31" s="4">
        <v>7762</v>
      </c>
      <c r="C31" s="3" t="s">
        <v>0</v>
      </c>
      <c r="D31" s="3" t="s">
        <v>167</v>
      </c>
      <c r="E31" s="10">
        <v>39120</v>
      </c>
      <c r="F31" s="11" t="s">
        <v>168</v>
      </c>
      <c r="G31" s="11" t="s">
        <v>1</v>
      </c>
      <c r="H31" s="11" t="s">
        <v>169</v>
      </c>
      <c r="I31" s="1" t="s">
        <v>170</v>
      </c>
      <c r="J31" s="3"/>
      <c r="K31" s="3"/>
      <c r="L31" s="3"/>
      <c r="M31" s="12" t="s">
        <v>171</v>
      </c>
      <c r="N31" s="13"/>
      <c r="O31" s="14"/>
      <c r="P31" s="15">
        <v>97017128693</v>
      </c>
      <c r="Q31" s="11" t="s">
        <v>6</v>
      </c>
      <c r="R31" s="3">
        <v>21</v>
      </c>
      <c r="S31" s="2">
        <f t="shared" si="0"/>
        <v>550</v>
      </c>
      <c r="T31" s="2">
        <f t="shared" si="1"/>
        <v>11550</v>
      </c>
      <c r="U31" s="11"/>
      <c r="V31" s="16" t="s">
        <v>31</v>
      </c>
      <c r="W31" s="5">
        <v>45996</v>
      </c>
      <c r="X31" s="6"/>
    </row>
    <row r="32" spans="1:24" ht="15" x14ac:dyDescent="0.3">
      <c r="A32" s="4">
        <v>31</v>
      </c>
      <c r="B32" s="4">
        <v>7763</v>
      </c>
      <c r="C32" s="3" t="s">
        <v>0</v>
      </c>
      <c r="D32" s="3" t="s">
        <v>172</v>
      </c>
      <c r="E32" s="10">
        <v>39083</v>
      </c>
      <c r="F32" s="11" t="s">
        <v>173</v>
      </c>
      <c r="G32" s="11" t="s">
        <v>1</v>
      </c>
      <c r="H32" s="11" t="s">
        <v>174</v>
      </c>
      <c r="I32" s="1" t="s">
        <v>175</v>
      </c>
      <c r="J32" s="3"/>
      <c r="K32" s="3"/>
      <c r="L32" s="3"/>
      <c r="M32" s="12" t="s">
        <v>176</v>
      </c>
      <c r="N32" s="13"/>
      <c r="O32" s="14"/>
      <c r="P32" s="15">
        <v>97017128706</v>
      </c>
      <c r="Q32" s="11" t="s">
        <v>6</v>
      </c>
      <c r="R32" s="3">
        <v>31</v>
      </c>
      <c r="S32" s="2">
        <f t="shared" si="0"/>
        <v>550</v>
      </c>
      <c r="T32" s="2">
        <f t="shared" si="1"/>
        <v>17050</v>
      </c>
      <c r="U32" s="11"/>
      <c r="V32" s="16" t="s">
        <v>31</v>
      </c>
      <c r="W32" s="5">
        <v>45996</v>
      </c>
      <c r="X32" s="6"/>
    </row>
    <row r="33" spans="1:24" ht="15" x14ac:dyDescent="0.3">
      <c r="A33" s="4">
        <v>32</v>
      </c>
      <c r="B33" s="4">
        <v>7766</v>
      </c>
      <c r="C33" s="3" t="s">
        <v>0</v>
      </c>
      <c r="D33" s="3" t="s">
        <v>177</v>
      </c>
      <c r="E33" s="10">
        <v>36526</v>
      </c>
      <c r="F33" s="11" t="s">
        <v>178</v>
      </c>
      <c r="G33" s="11" t="s">
        <v>1</v>
      </c>
      <c r="H33" s="11" t="s">
        <v>179</v>
      </c>
      <c r="I33" s="1" t="s">
        <v>180</v>
      </c>
      <c r="J33" s="3"/>
      <c r="K33" s="3"/>
      <c r="L33" s="3"/>
      <c r="M33" s="12" t="s">
        <v>181</v>
      </c>
      <c r="N33" s="13"/>
      <c r="O33" s="14"/>
      <c r="P33" s="15">
        <v>97017128671</v>
      </c>
      <c r="Q33" s="11" t="s">
        <v>6</v>
      </c>
      <c r="R33" s="3">
        <v>23</v>
      </c>
      <c r="S33" s="2">
        <f t="shared" si="0"/>
        <v>550</v>
      </c>
      <c r="T33" s="2">
        <f t="shared" si="1"/>
        <v>12650</v>
      </c>
      <c r="U33" s="11"/>
      <c r="V33" s="16" t="s">
        <v>31</v>
      </c>
      <c r="W33" s="5">
        <v>45996</v>
      </c>
      <c r="X33" s="6"/>
    </row>
    <row r="34" spans="1:24" ht="15" x14ac:dyDescent="0.3">
      <c r="A34" s="4">
        <v>33</v>
      </c>
      <c r="B34" s="4">
        <v>7853</v>
      </c>
      <c r="C34" s="3" t="s">
        <v>0</v>
      </c>
      <c r="D34" s="3" t="s">
        <v>182</v>
      </c>
      <c r="E34" s="10">
        <v>28778</v>
      </c>
      <c r="F34" s="11" t="s">
        <v>183</v>
      </c>
      <c r="G34" s="11" t="s">
        <v>1</v>
      </c>
      <c r="H34" s="11" t="s">
        <v>184</v>
      </c>
      <c r="I34" s="1" t="s">
        <v>185</v>
      </c>
      <c r="J34" s="3"/>
      <c r="K34" s="3"/>
      <c r="L34" s="3"/>
      <c r="M34" s="12" t="s">
        <v>186</v>
      </c>
      <c r="N34" s="13"/>
      <c r="O34" s="14"/>
      <c r="P34" s="15">
        <v>32423742082</v>
      </c>
      <c r="Q34" s="11" t="s">
        <v>16</v>
      </c>
      <c r="R34" s="3">
        <v>31</v>
      </c>
      <c r="S34" s="2">
        <f t="shared" si="0"/>
        <v>550</v>
      </c>
      <c r="T34" s="2">
        <f t="shared" si="1"/>
        <v>17050</v>
      </c>
      <c r="U34" s="11"/>
      <c r="V34" s="16" t="s">
        <v>4</v>
      </c>
      <c r="W34" s="5">
        <v>46021</v>
      </c>
      <c r="X34" s="6"/>
    </row>
    <row r="35" spans="1:24" ht="15" x14ac:dyDescent="0.3">
      <c r="A35" s="4">
        <v>34</v>
      </c>
      <c r="B35" s="4">
        <v>7137</v>
      </c>
      <c r="C35" s="3" t="s">
        <v>0</v>
      </c>
      <c r="D35" s="3" t="s">
        <v>187</v>
      </c>
      <c r="E35" s="10">
        <v>36161</v>
      </c>
      <c r="F35" s="11" t="s">
        <v>188</v>
      </c>
      <c r="G35" s="11" t="s">
        <v>1</v>
      </c>
      <c r="H35" s="11" t="s">
        <v>189</v>
      </c>
      <c r="I35" s="1" t="s">
        <v>190</v>
      </c>
      <c r="J35" s="3"/>
      <c r="K35" s="3"/>
      <c r="L35" s="3"/>
      <c r="M35" s="12"/>
      <c r="N35" s="13"/>
      <c r="O35" s="14" t="s">
        <v>15</v>
      </c>
      <c r="P35" s="15">
        <v>97012346208</v>
      </c>
      <c r="Q35" s="11" t="s">
        <v>6</v>
      </c>
      <c r="R35" s="3">
        <v>31</v>
      </c>
      <c r="S35" s="2">
        <f t="shared" si="0"/>
        <v>550</v>
      </c>
      <c r="T35" s="2">
        <f t="shared" si="1"/>
        <v>17050</v>
      </c>
      <c r="U35" s="11"/>
      <c r="V35" s="16" t="s">
        <v>4</v>
      </c>
      <c r="W35" s="5" t="s">
        <v>17</v>
      </c>
      <c r="X35" s="6"/>
    </row>
    <row r="36" spans="1:24" ht="15" x14ac:dyDescent="0.3">
      <c r="A36" s="4">
        <v>35</v>
      </c>
      <c r="B36" s="4">
        <v>7671</v>
      </c>
      <c r="C36" s="3" t="s">
        <v>0</v>
      </c>
      <c r="D36" s="3" t="s">
        <v>191</v>
      </c>
      <c r="E36" s="10">
        <v>38704</v>
      </c>
      <c r="F36" s="11" t="s">
        <v>192</v>
      </c>
      <c r="G36" s="11" t="s">
        <v>1</v>
      </c>
      <c r="H36" s="11" t="s">
        <v>193</v>
      </c>
      <c r="I36" s="1" t="s">
        <v>194</v>
      </c>
      <c r="J36" s="3"/>
      <c r="K36" s="3"/>
      <c r="L36" s="3"/>
      <c r="M36" s="12" t="s">
        <v>195</v>
      </c>
      <c r="N36" s="13"/>
      <c r="O36" s="14" t="s">
        <v>23</v>
      </c>
      <c r="P36" s="15">
        <v>97015896533</v>
      </c>
      <c r="Q36" s="11" t="s">
        <v>6</v>
      </c>
      <c r="R36" s="3">
        <v>31</v>
      </c>
      <c r="S36" s="2">
        <f t="shared" si="0"/>
        <v>550</v>
      </c>
      <c r="T36" s="2">
        <f t="shared" si="1"/>
        <v>17050</v>
      </c>
      <c r="U36" s="11"/>
      <c r="V36" s="16" t="s">
        <v>4</v>
      </c>
      <c r="W36" s="5">
        <v>45923</v>
      </c>
      <c r="X36" s="6"/>
    </row>
    <row r="37" spans="1:24" ht="15" x14ac:dyDescent="0.3">
      <c r="A37" s="4">
        <v>36</v>
      </c>
      <c r="B37" s="4">
        <v>7920</v>
      </c>
      <c r="C37" s="3" t="s">
        <v>0</v>
      </c>
      <c r="D37" s="3" t="s">
        <v>196</v>
      </c>
      <c r="E37" s="10">
        <v>27722</v>
      </c>
      <c r="F37" s="11" t="s">
        <v>197</v>
      </c>
      <c r="G37" s="11" t="s">
        <v>1</v>
      </c>
      <c r="H37" s="11" t="s">
        <v>198</v>
      </c>
      <c r="I37" s="1" t="s">
        <v>199</v>
      </c>
      <c r="J37" s="3"/>
      <c r="K37" s="3"/>
      <c r="L37" s="3"/>
      <c r="M37" s="12"/>
      <c r="N37" s="13"/>
      <c r="O37" s="14" t="s">
        <v>2</v>
      </c>
      <c r="P37" s="15">
        <v>20127301187</v>
      </c>
      <c r="Q37" s="11" t="s">
        <v>3</v>
      </c>
      <c r="R37" s="3">
        <v>31</v>
      </c>
      <c r="S37" s="2">
        <f t="shared" si="0"/>
        <v>550</v>
      </c>
      <c r="T37" s="2">
        <f t="shared" si="1"/>
        <v>17050</v>
      </c>
      <c r="U37" s="11"/>
      <c r="V37" s="16" t="s">
        <v>4</v>
      </c>
      <c r="W37" s="5" t="s">
        <v>5</v>
      </c>
      <c r="X37" s="6"/>
    </row>
    <row r="38" spans="1:24" ht="15" x14ac:dyDescent="0.3">
      <c r="A38" s="4">
        <v>37</v>
      </c>
      <c r="B38" s="4">
        <v>7945</v>
      </c>
      <c r="C38" s="3" t="s">
        <v>0</v>
      </c>
      <c r="D38" s="3" t="s">
        <v>200</v>
      </c>
      <c r="E38" s="10">
        <v>35889</v>
      </c>
      <c r="F38" s="11" t="s">
        <v>201</v>
      </c>
      <c r="G38" s="11" t="s">
        <v>22</v>
      </c>
      <c r="H38" s="11" t="s">
        <v>202</v>
      </c>
      <c r="I38" s="1">
        <v>306388599016</v>
      </c>
      <c r="J38" s="3"/>
      <c r="K38" s="3"/>
      <c r="L38" s="3"/>
      <c r="M38" s="12" t="s">
        <v>203</v>
      </c>
      <c r="N38" s="13"/>
      <c r="O38" s="14" t="s">
        <v>25</v>
      </c>
      <c r="P38" s="15">
        <v>97015666429</v>
      </c>
      <c r="Q38" s="11" t="s">
        <v>6</v>
      </c>
      <c r="R38" s="3">
        <v>31</v>
      </c>
      <c r="S38" s="2">
        <f t="shared" si="0"/>
        <v>550</v>
      </c>
      <c r="T38" s="2">
        <f t="shared" si="1"/>
        <v>17050</v>
      </c>
      <c r="U38" s="11"/>
      <c r="V38" s="16" t="s">
        <v>4</v>
      </c>
      <c r="W38" s="5" t="s">
        <v>26</v>
      </c>
      <c r="X38" s="6"/>
    </row>
    <row r="39" spans="1:24" ht="15" x14ac:dyDescent="0.3">
      <c r="A39" s="4">
        <v>38</v>
      </c>
      <c r="B39" s="4">
        <v>7946</v>
      </c>
      <c r="C39" s="3" t="s">
        <v>0</v>
      </c>
      <c r="D39" s="3" t="s">
        <v>204</v>
      </c>
      <c r="E39" s="10">
        <v>33859</v>
      </c>
      <c r="F39" s="11" t="s">
        <v>205</v>
      </c>
      <c r="G39" s="11" t="s">
        <v>1</v>
      </c>
      <c r="H39" s="11" t="s">
        <v>206</v>
      </c>
      <c r="I39" s="1">
        <v>970084925495</v>
      </c>
      <c r="J39" s="3"/>
      <c r="K39" s="3"/>
      <c r="L39" s="3"/>
      <c r="M39" s="12" t="s">
        <v>207</v>
      </c>
      <c r="N39" s="13"/>
      <c r="O39" s="14" t="s">
        <v>25</v>
      </c>
      <c r="P39" s="15">
        <v>41978200898</v>
      </c>
      <c r="Q39" s="11" t="s">
        <v>19</v>
      </c>
      <c r="R39" s="3">
        <v>31</v>
      </c>
      <c r="S39" s="2">
        <f t="shared" si="0"/>
        <v>550</v>
      </c>
      <c r="T39" s="2">
        <f t="shared" si="1"/>
        <v>17050</v>
      </c>
      <c r="U39" s="11"/>
      <c r="V39" s="16" t="s">
        <v>4</v>
      </c>
      <c r="W39" s="5" t="s">
        <v>26</v>
      </c>
      <c r="X39" s="6"/>
    </row>
    <row r="40" spans="1:24" ht="15" x14ac:dyDescent="0.3">
      <c r="A40" s="4">
        <v>39</v>
      </c>
      <c r="B40" s="4">
        <v>7947</v>
      </c>
      <c r="C40" s="3" t="s">
        <v>0</v>
      </c>
      <c r="D40" s="3" t="s">
        <v>208</v>
      </c>
      <c r="E40" s="10">
        <v>30250</v>
      </c>
      <c r="F40" s="11" t="s">
        <v>209</v>
      </c>
      <c r="G40" s="11" t="s">
        <v>1</v>
      </c>
      <c r="H40" s="11" t="s">
        <v>210</v>
      </c>
      <c r="I40" s="1">
        <v>619818244706</v>
      </c>
      <c r="J40" s="3"/>
      <c r="K40" s="3"/>
      <c r="L40" s="3"/>
      <c r="M40" s="12" t="s">
        <v>211</v>
      </c>
      <c r="N40" s="13"/>
      <c r="O40" s="14" t="s">
        <v>25</v>
      </c>
      <c r="P40" s="15">
        <v>20127300092</v>
      </c>
      <c r="Q40" s="11" t="s">
        <v>16</v>
      </c>
      <c r="R40" s="3">
        <v>31</v>
      </c>
      <c r="S40" s="2">
        <f t="shared" si="0"/>
        <v>550</v>
      </c>
      <c r="T40" s="2">
        <f t="shared" si="1"/>
        <v>17050</v>
      </c>
      <c r="U40" s="11"/>
      <c r="V40" s="16" t="s">
        <v>4</v>
      </c>
      <c r="W40" s="5" t="s">
        <v>26</v>
      </c>
      <c r="X40" s="6"/>
    </row>
    <row r="41" spans="1:24" s="27" customFormat="1" ht="15" x14ac:dyDescent="0.3">
      <c r="A41" s="17">
        <v>40</v>
      </c>
      <c r="B41" s="17">
        <v>7948</v>
      </c>
      <c r="C41" s="18" t="s">
        <v>0</v>
      </c>
      <c r="D41" s="18" t="s">
        <v>212</v>
      </c>
      <c r="E41" s="19">
        <v>32823</v>
      </c>
      <c r="F41" s="20" t="s">
        <v>213</v>
      </c>
      <c r="G41" s="20" t="s">
        <v>1</v>
      </c>
      <c r="H41" s="20" t="s">
        <v>50</v>
      </c>
      <c r="I41" s="7">
        <v>563426478090</v>
      </c>
      <c r="J41" s="18"/>
      <c r="K41" s="18"/>
      <c r="L41" s="18"/>
      <c r="M41" s="21" t="s">
        <v>214</v>
      </c>
      <c r="N41" s="22"/>
      <c r="O41" s="23" t="s">
        <v>25</v>
      </c>
      <c r="P41" s="24">
        <v>41937635704</v>
      </c>
      <c r="Q41" s="20" t="s">
        <v>16</v>
      </c>
      <c r="R41" s="18">
        <v>31</v>
      </c>
      <c r="S41" s="9">
        <f t="shared" si="0"/>
        <v>550</v>
      </c>
      <c r="T41" s="9">
        <f t="shared" si="1"/>
        <v>17050</v>
      </c>
      <c r="U41" s="20">
        <f>SUM(T22:T41)</f>
        <v>341330</v>
      </c>
      <c r="V41" s="25" t="s">
        <v>4</v>
      </c>
      <c r="W41" s="26" t="s">
        <v>26</v>
      </c>
      <c r="X41" s="8"/>
    </row>
    <row r="42" spans="1:24" ht="15" x14ac:dyDescent="0.3">
      <c r="A42" s="4">
        <v>41</v>
      </c>
      <c r="B42" s="4">
        <v>7949</v>
      </c>
      <c r="C42" s="3" t="s">
        <v>0</v>
      </c>
      <c r="D42" s="3" t="s">
        <v>215</v>
      </c>
      <c r="E42" s="10">
        <v>29718</v>
      </c>
      <c r="F42" s="11" t="s">
        <v>216</v>
      </c>
      <c r="G42" s="11" t="s">
        <v>1</v>
      </c>
      <c r="H42" s="11" t="s">
        <v>217</v>
      </c>
      <c r="I42" s="1">
        <v>519934442429</v>
      </c>
      <c r="J42" s="3"/>
      <c r="K42" s="3"/>
      <c r="L42" s="3"/>
      <c r="M42" s="12" t="s">
        <v>218</v>
      </c>
      <c r="N42" s="13"/>
      <c r="O42" s="14" t="s">
        <v>25</v>
      </c>
      <c r="P42" s="15">
        <v>35210396957</v>
      </c>
      <c r="Q42" s="11" t="s">
        <v>16</v>
      </c>
      <c r="R42" s="3">
        <v>31</v>
      </c>
      <c r="S42" s="2">
        <f t="shared" si="0"/>
        <v>550</v>
      </c>
      <c r="T42" s="2">
        <f t="shared" si="1"/>
        <v>17050</v>
      </c>
      <c r="U42" s="11"/>
      <c r="V42" s="16" t="s">
        <v>4</v>
      </c>
      <c r="W42" s="5" t="s">
        <v>26</v>
      </c>
      <c r="X42" s="6"/>
    </row>
    <row r="43" spans="1:24" ht="15" x14ac:dyDescent="0.3">
      <c r="A43" s="4">
        <v>42</v>
      </c>
      <c r="B43" s="4">
        <v>7950</v>
      </c>
      <c r="C43" s="3" t="s">
        <v>0</v>
      </c>
      <c r="D43" s="3" t="s">
        <v>219</v>
      </c>
      <c r="E43" s="10">
        <v>29675</v>
      </c>
      <c r="F43" s="11" t="s">
        <v>220</v>
      </c>
      <c r="G43" s="11" t="s">
        <v>1</v>
      </c>
      <c r="H43" s="11" t="s">
        <v>221</v>
      </c>
      <c r="I43" s="1">
        <v>295462611397</v>
      </c>
      <c r="J43" s="3"/>
      <c r="K43" s="3"/>
      <c r="L43" s="3"/>
      <c r="M43" s="12" t="s">
        <v>222</v>
      </c>
      <c r="N43" s="13"/>
      <c r="O43" s="14" t="s">
        <v>25</v>
      </c>
      <c r="P43" s="15">
        <v>20095356796</v>
      </c>
      <c r="Q43" s="11" t="s">
        <v>16</v>
      </c>
      <c r="R43" s="3">
        <v>31</v>
      </c>
      <c r="S43" s="2">
        <f t="shared" si="0"/>
        <v>550</v>
      </c>
      <c r="T43" s="2">
        <f t="shared" si="1"/>
        <v>17050</v>
      </c>
      <c r="U43" s="11"/>
      <c r="V43" s="16" t="s">
        <v>4</v>
      </c>
      <c r="W43" s="5" t="s">
        <v>26</v>
      </c>
      <c r="X43" s="6"/>
    </row>
    <row r="44" spans="1:24" ht="15" x14ac:dyDescent="0.3">
      <c r="A44" s="4">
        <v>43</v>
      </c>
      <c r="B44" s="4">
        <v>7951</v>
      </c>
      <c r="C44" s="3" t="s">
        <v>0</v>
      </c>
      <c r="D44" s="3" t="s">
        <v>223</v>
      </c>
      <c r="E44" s="10">
        <v>30317</v>
      </c>
      <c r="F44" s="11" t="s">
        <v>224</v>
      </c>
      <c r="G44" s="11" t="s">
        <v>1</v>
      </c>
      <c r="H44" s="11" t="s">
        <v>225</v>
      </c>
      <c r="I44" s="1">
        <v>692942055078</v>
      </c>
      <c r="J44" s="3"/>
      <c r="K44" s="3"/>
      <c r="L44" s="3"/>
      <c r="M44" s="12" t="s">
        <v>226</v>
      </c>
      <c r="N44" s="13"/>
      <c r="O44" s="14" t="s">
        <v>25</v>
      </c>
      <c r="P44" s="15">
        <v>97012970769</v>
      </c>
      <c r="Q44" s="11" t="s">
        <v>6</v>
      </c>
      <c r="R44" s="3">
        <v>31</v>
      </c>
      <c r="S44" s="2">
        <f t="shared" si="0"/>
        <v>550</v>
      </c>
      <c r="T44" s="2">
        <f t="shared" si="1"/>
        <v>17050</v>
      </c>
      <c r="U44" s="11"/>
      <c r="V44" s="16" t="s">
        <v>4</v>
      </c>
      <c r="W44" s="5" t="s">
        <v>26</v>
      </c>
      <c r="X44" s="6"/>
    </row>
    <row r="45" spans="1:24" ht="15" x14ac:dyDescent="0.3">
      <c r="A45" s="4">
        <v>44</v>
      </c>
      <c r="B45" s="4">
        <v>7953</v>
      </c>
      <c r="C45" s="3" t="s">
        <v>0</v>
      </c>
      <c r="D45" s="3" t="s">
        <v>227</v>
      </c>
      <c r="E45" s="10">
        <v>33970</v>
      </c>
      <c r="F45" s="11" t="s">
        <v>228</v>
      </c>
      <c r="G45" s="11" t="s">
        <v>1</v>
      </c>
      <c r="H45" s="11" t="s">
        <v>229</v>
      </c>
      <c r="I45" s="1">
        <v>675274130659</v>
      </c>
      <c r="J45" s="3"/>
      <c r="K45" s="3"/>
      <c r="L45" s="3"/>
      <c r="M45" s="12" t="s">
        <v>230</v>
      </c>
      <c r="N45" s="13"/>
      <c r="O45" s="14" t="s">
        <v>25</v>
      </c>
      <c r="P45" s="15">
        <v>97015786825</v>
      </c>
      <c r="Q45" s="11" t="s">
        <v>6</v>
      </c>
      <c r="R45" s="3">
        <v>31</v>
      </c>
      <c r="S45" s="2">
        <f t="shared" si="0"/>
        <v>550</v>
      </c>
      <c r="T45" s="2">
        <f t="shared" si="1"/>
        <v>17050</v>
      </c>
      <c r="U45" s="11"/>
      <c r="V45" s="16" t="s">
        <v>4</v>
      </c>
      <c r="W45" s="5" t="s">
        <v>26</v>
      </c>
      <c r="X45" s="6"/>
    </row>
    <row r="46" spans="1:24" ht="15" x14ac:dyDescent="0.3">
      <c r="A46" s="4">
        <v>45</v>
      </c>
      <c r="B46" s="4">
        <v>7955</v>
      </c>
      <c r="C46" s="3" t="s">
        <v>0</v>
      </c>
      <c r="D46" s="3" t="s">
        <v>20</v>
      </c>
      <c r="E46" s="10">
        <v>35796</v>
      </c>
      <c r="F46" s="11" t="s">
        <v>231</v>
      </c>
      <c r="G46" s="11" t="s">
        <v>1</v>
      </c>
      <c r="H46" s="11" t="s">
        <v>232</v>
      </c>
      <c r="I46" s="1">
        <v>599141669684</v>
      </c>
      <c r="J46" s="3"/>
      <c r="K46" s="3"/>
      <c r="L46" s="3"/>
      <c r="M46" s="12" t="s">
        <v>233</v>
      </c>
      <c r="N46" s="13"/>
      <c r="O46" s="14" t="s">
        <v>25</v>
      </c>
      <c r="P46" s="15">
        <v>97013103161</v>
      </c>
      <c r="Q46" s="11" t="s">
        <v>6</v>
      </c>
      <c r="R46" s="3">
        <v>31</v>
      </c>
      <c r="S46" s="2">
        <f t="shared" si="0"/>
        <v>550</v>
      </c>
      <c r="T46" s="2">
        <f t="shared" si="1"/>
        <v>17050</v>
      </c>
      <c r="U46" s="11"/>
      <c r="V46" s="16" t="s">
        <v>4</v>
      </c>
      <c r="W46" s="5" t="s">
        <v>26</v>
      </c>
      <c r="X46" s="6"/>
    </row>
    <row r="47" spans="1:24" ht="15" x14ac:dyDescent="0.3">
      <c r="A47" s="4">
        <v>46</v>
      </c>
      <c r="B47" s="4">
        <v>8308</v>
      </c>
      <c r="C47" s="3" t="s">
        <v>0</v>
      </c>
      <c r="D47" s="3" t="s">
        <v>234</v>
      </c>
      <c r="E47" s="10" t="s">
        <v>235</v>
      </c>
      <c r="F47" s="11" t="s">
        <v>236</v>
      </c>
      <c r="G47" s="11" t="s">
        <v>1</v>
      </c>
      <c r="H47" s="11" t="s">
        <v>237</v>
      </c>
      <c r="I47" s="1" t="s">
        <v>238</v>
      </c>
      <c r="J47" s="3"/>
      <c r="K47" s="3"/>
      <c r="L47" s="3"/>
      <c r="M47" s="12" t="s">
        <v>239</v>
      </c>
      <c r="N47" s="13"/>
      <c r="O47" s="14"/>
      <c r="P47" s="15">
        <v>20197014882</v>
      </c>
      <c r="Q47" s="11" t="s">
        <v>240</v>
      </c>
      <c r="R47" s="3">
        <v>31</v>
      </c>
      <c r="S47" s="2">
        <f t="shared" si="0"/>
        <v>550</v>
      </c>
      <c r="T47" s="2">
        <f t="shared" si="1"/>
        <v>17050</v>
      </c>
      <c r="U47" s="11"/>
      <c r="V47" s="16" t="s">
        <v>4</v>
      </c>
      <c r="W47" s="5" t="s">
        <v>241</v>
      </c>
      <c r="X47" s="6"/>
    </row>
    <row r="48" spans="1:24" ht="15" x14ac:dyDescent="0.3">
      <c r="A48" s="4">
        <v>47</v>
      </c>
      <c r="B48" s="4">
        <v>8310</v>
      </c>
      <c r="C48" s="3" t="s">
        <v>0</v>
      </c>
      <c r="D48" s="3" t="s">
        <v>242</v>
      </c>
      <c r="E48" s="10" t="s">
        <v>243</v>
      </c>
      <c r="F48" s="11" t="s">
        <v>244</v>
      </c>
      <c r="G48" s="11" t="s">
        <v>1</v>
      </c>
      <c r="H48" s="11" t="s">
        <v>245</v>
      </c>
      <c r="I48" s="1" t="s">
        <v>246</v>
      </c>
      <c r="J48" s="3"/>
      <c r="K48" s="3"/>
      <c r="L48" s="3"/>
      <c r="M48" s="12" t="s">
        <v>247</v>
      </c>
      <c r="N48" s="13"/>
      <c r="O48" s="14"/>
      <c r="P48" s="15">
        <v>35159361897</v>
      </c>
      <c r="Q48" s="11" t="s">
        <v>16</v>
      </c>
      <c r="R48" s="3">
        <v>31</v>
      </c>
      <c r="S48" s="2">
        <f t="shared" si="0"/>
        <v>550</v>
      </c>
      <c r="T48" s="2">
        <f t="shared" si="1"/>
        <v>17050</v>
      </c>
      <c r="U48" s="11"/>
      <c r="V48" s="16" t="s">
        <v>4</v>
      </c>
      <c r="W48" s="5" t="s">
        <v>241</v>
      </c>
      <c r="X48" s="6"/>
    </row>
    <row r="49" spans="1:24" ht="15" x14ac:dyDescent="0.3">
      <c r="A49" s="4">
        <v>48</v>
      </c>
      <c r="B49" s="4">
        <v>8311</v>
      </c>
      <c r="C49" s="3" t="s">
        <v>0</v>
      </c>
      <c r="D49" s="3" t="s">
        <v>248</v>
      </c>
      <c r="E49" s="10">
        <v>33464</v>
      </c>
      <c r="F49" s="11" t="s">
        <v>249</v>
      </c>
      <c r="G49" s="11" t="s">
        <v>1</v>
      </c>
      <c r="H49" s="11" t="s">
        <v>250</v>
      </c>
      <c r="I49" s="1" t="s">
        <v>251</v>
      </c>
      <c r="J49" s="3"/>
      <c r="K49" s="3"/>
      <c r="L49" s="3"/>
      <c r="M49" s="12" t="s">
        <v>252</v>
      </c>
      <c r="N49" s="13"/>
      <c r="O49" s="14"/>
      <c r="P49" s="15">
        <v>35198346793</v>
      </c>
      <c r="Q49" s="11" t="s">
        <v>16</v>
      </c>
      <c r="R49" s="3">
        <v>31</v>
      </c>
      <c r="S49" s="2">
        <f t="shared" si="0"/>
        <v>550</v>
      </c>
      <c r="T49" s="2">
        <f t="shared" si="1"/>
        <v>17050</v>
      </c>
      <c r="U49" s="11"/>
      <c r="V49" s="16" t="s">
        <v>4</v>
      </c>
      <c r="W49" s="5" t="s">
        <v>241</v>
      </c>
      <c r="X49" s="6"/>
    </row>
    <row r="50" spans="1:24" ht="15" x14ac:dyDescent="0.3">
      <c r="A50" s="4">
        <v>49</v>
      </c>
      <c r="B50" s="4">
        <v>8312</v>
      </c>
      <c r="C50" s="3" t="s">
        <v>0</v>
      </c>
      <c r="D50" s="3" t="s">
        <v>253</v>
      </c>
      <c r="E50" s="10">
        <v>34692</v>
      </c>
      <c r="F50" s="11" t="s">
        <v>254</v>
      </c>
      <c r="G50" s="11" t="s">
        <v>1</v>
      </c>
      <c r="H50" s="11" t="s">
        <v>255</v>
      </c>
      <c r="I50" s="1" t="s">
        <v>256</v>
      </c>
      <c r="J50" s="3"/>
      <c r="K50" s="3"/>
      <c r="L50" s="3"/>
      <c r="M50" s="12" t="s">
        <v>257</v>
      </c>
      <c r="N50" s="13"/>
      <c r="O50" s="14"/>
      <c r="P50" s="15">
        <v>97011113423</v>
      </c>
      <c r="Q50" s="11" t="s">
        <v>6</v>
      </c>
      <c r="R50" s="3">
        <v>31</v>
      </c>
      <c r="S50" s="2">
        <f t="shared" si="0"/>
        <v>550</v>
      </c>
      <c r="T50" s="2">
        <f t="shared" si="1"/>
        <v>17050</v>
      </c>
      <c r="U50" s="11"/>
      <c r="V50" s="16" t="s">
        <v>4</v>
      </c>
      <c r="W50" s="5" t="s">
        <v>241</v>
      </c>
      <c r="X50" s="6"/>
    </row>
    <row r="51" spans="1:24" ht="15" x14ac:dyDescent="0.3">
      <c r="A51" s="4">
        <v>50</v>
      </c>
      <c r="B51" s="4">
        <v>8313</v>
      </c>
      <c r="C51" s="3" t="s">
        <v>0</v>
      </c>
      <c r="D51" s="3" t="s">
        <v>258</v>
      </c>
      <c r="E51" s="10">
        <v>27872</v>
      </c>
      <c r="F51" s="11" t="s">
        <v>259</v>
      </c>
      <c r="G51" s="11" t="s">
        <v>1</v>
      </c>
      <c r="H51" s="11" t="s">
        <v>260</v>
      </c>
      <c r="I51" s="1" t="s">
        <v>261</v>
      </c>
      <c r="J51" s="3"/>
      <c r="K51" s="3"/>
      <c r="L51" s="3"/>
      <c r="M51" s="12" t="s">
        <v>262</v>
      </c>
      <c r="N51" s="13"/>
      <c r="O51" s="14"/>
      <c r="P51" s="15">
        <v>20319986504</v>
      </c>
      <c r="Q51" s="11" t="s">
        <v>16</v>
      </c>
      <c r="R51" s="3">
        <v>31</v>
      </c>
      <c r="S51" s="2">
        <f t="shared" si="0"/>
        <v>550</v>
      </c>
      <c r="T51" s="2">
        <f t="shared" si="1"/>
        <v>17050</v>
      </c>
      <c r="U51" s="11"/>
      <c r="V51" s="16" t="s">
        <v>4</v>
      </c>
      <c r="W51" s="5" t="s">
        <v>241</v>
      </c>
      <c r="X51" s="6"/>
    </row>
    <row r="52" spans="1:24" ht="15" x14ac:dyDescent="0.3">
      <c r="A52" s="4">
        <v>51</v>
      </c>
      <c r="B52" s="4">
        <v>8314</v>
      </c>
      <c r="C52" s="3" t="s">
        <v>0</v>
      </c>
      <c r="D52" s="3" t="s">
        <v>263</v>
      </c>
      <c r="E52" s="10">
        <v>23712</v>
      </c>
      <c r="F52" s="11" t="s">
        <v>264</v>
      </c>
      <c r="G52" s="11" t="s">
        <v>1</v>
      </c>
      <c r="H52" s="11" t="s">
        <v>265</v>
      </c>
      <c r="I52" s="1" t="s">
        <v>266</v>
      </c>
      <c r="J52" s="3"/>
      <c r="K52" s="3"/>
      <c r="L52" s="3"/>
      <c r="M52" s="12" t="s">
        <v>267</v>
      </c>
      <c r="N52" s="13"/>
      <c r="O52" s="14"/>
      <c r="P52" s="15">
        <v>20127286486</v>
      </c>
      <c r="Q52" s="11" t="s">
        <v>3</v>
      </c>
      <c r="R52" s="3">
        <v>31</v>
      </c>
      <c r="S52" s="2">
        <f t="shared" si="0"/>
        <v>550</v>
      </c>
      <c r="T52" s="2">
        <f t="shared" si="1"/>
        <v>17050</v>
      </c>
      <c r="U52" s="11"/>
      <c r="V52" s="16" t="s">
        <v>4</v>
      </c>
      <c r="W52" s="5" t="s">
        <v>241</v>
      </c>
      <c r="X52" s="6"/>
    </row>
    <row r="53" spans="1:24" ht="15" x14ac:dyDescent="0.3">
      <c r="A53" s="4">
        <v>52</v>
      </c>
      <c r="B53" s="4">
        <v>8315</v>
      </c>
      <c r="C53" s="3" t="s">
        <v>0</v>
      </c>
      <c r="D53" s="3" t="s">
        <v>268</v>
      </c>
      <c r="E53" s="10">
        <v>31180</v>
      </c>
      <c r="F53" s="11" t="s">
        <v>269</v>
      </c>
      <c r="G53" s="11" t="s">
        <v>1</v>
      </c>
      <c r="H53" s="11" t="s">
        <v>270</v>
      </c>
      <c r="I53" s="1" t="s">
        <v>271</v>
      </c>
      <c r="J53" s="3"/>
      <c r="K53" s="3"/>
      <c r="L53" s="3"/>
      <c r="M53" s="12" t="s">
        <v>272</v>
      </c>
      <c r="N53" s="13"/>
      <c r="O53" s="14"/>
      <c r="P53" s="15">
        <v>32459550091</v>
      </c>
      <c r="Q53" s="11" t="s">
        <v>3</v>
      </c>
      <c r="R53" s="3">
        <v>31</v>
      </c>
      <c r="S53" s="2">
        <f t="shared" si="0"/>
        <v>550</v>
      </c>
      <c r="T53" s="2">
        <f t="shared" si="1"/>
        <v>17050</v>
      </c>
      <c r="U53" s="11"/>
      <c r="V53" s="16" t="s">
        <v>4</v>
      </c>
      <c r="W53" s="5" t="s">
        <v>241</v>
      </c>
      <c r="X53" s="6"/>
    </row>
    <row r="54" spans="1:24" ht="15" x14ac:dyDescent="0.3">
      <c r="A54" s="4">
        <v>53</v>
      </c>
      <c r="B54" s="4">
        <v>8316</v>
      </c>
      <c r="C54" s="3" t="s">
        <v>0</v>
      </c>
      <c r="D54" s="3" t="s">
        <v>273</v>
      </c>
      <c r="E54" s="10">
        <v>25390</v>
      </c>
      <c r="F54" s="11" t="s">
        <v>274</v>
      </c>
      <c r="G54" s="11" t="s">
        <v>1</v>
      </c>
      <c r="H54" s="11" t="s">
        <v>275</v>
      </c>
      <c r="I54" s="1" t="s">
        <v>276</v>
      </c>
      <c r="J54" s="3"/>
      <c r="K54" s="3"/>
      <c r="L54" s="3"/>
      <c r="M54" s="12" t="s">
        <v>277</v>
      </c>
      <c r="N54" s="13"/>
      <c r="O54" s="14"/>
      <c r="P54" s="15">
        <v>33997366910</v>
      </c>
      <c r="Q54" s="11" t="s">
        <v>16</v>
      </c>
      <c r="R54" s="3">
        <v>31</v>
      </c>
      <c r="S54" s="2">
        <f t="shared" si="0"/>
        <v>550</v>
      </c>
      <c r="T54" s="2">
        <f t="shared" si="1"/>
        <v>17050</v>
      </c>
      <c r="U54" s="11"/>
      <c r="V54" s="16" t="s">
        <v>4</v>
      </c>
      <c r="W54" s="5" t="s">
        <v>241</v>
      </c>
      <c r="X54" s="6"/>
    </row>
    <row r="55" spans="1:24" ht="15" x14ac:dyDescent="0.3">
      <c r="A55" s="4">
        <v>54</v>
      </c>
      <c r="B55" s="4">
        <v>8317</v>
      </c>
      <c r="C55" s="3" t="s">
        <v>0</v>
      </c>
      <c r="D55" s="3" t="s">
        <v>278</v>
      </c>
      <c r="E55" s="10">
        <v>30353</v>
      </c>
      <c r="F55" s="11" t="s">
        <v>279</v>
      </c>
      <c r="G55" s="11" t="s">
        <v>1</v>
      </c>
      <c r="H55" s="11" t="s">
        <v>280</v>
      </c>
      <c r="I55" s="1" t="s">
        <v>281</v>
      </c>
      <c r="J55" s="3"/>
      <c r="K55" s="3"/>
      <c r="L55" s="3"/>
      <c r="M55" s="12" t="s">
        <v>282</v>
      </c>
      <c r="N55" s="13"/>
      <c r="O55" s="14"/>
      <c r="P55" s="15">
        <v>33076565742</v>
      </c>
      <c r="Q55" s="11" t="s">
        <v>3</v>
      </c>
      <c r="R55" s="3">
        <v>31</v>
      </c>
      <c r="S55" s="2">
        <f t="shared" si="0"/>
        <v>550</v>
      </c>
      <c r="T55" s="2">
        <f t="shared" si="1"/>
        <v>17050</v>
      </c>
      <c r="U55" s="11"/>
      <c r="V55" s="16" t="s">
        <v>4</v>
      </c>
      <c r="W55" s="5" t="s">
        <v>241</v>
      </c>
      <c r="X55" s="6"/>
    </row>
    <row r="56" spans="1:24" ht="15" x14ac:dyDescent="0.3">
      <c r="A56" s="4">
        <v>55</v>
      </c>
      <c r="B56" s="4">
        <v>8318</v>
      </c>
      <c r="C56" s="3" t="s">
        <v>0</v>
      </c>
      <c r="D56" s="3" t="s">
        <v>283</v>
      </c>
      <c r="E56" s="10">
        <v>26328</v>
      </c>
      <c r="F56" s="11" t="s">
        <v>284</v>
      </c>
      <c r="G56" s="11" t="s">
        <v>1</v>
      </c>
      <c r="H56" s="11" t="s">
        <v>285</v>
      </c>
      <c r="I56" s="1" t="s">
        <v>286</v>
      </c>
      <c r="J56" s="3"/>
      <c r="K56" s="3"/>
      <c r="L56" s="3"/>
      <c r="M56" s="12" t="s">
        <v>287</v>
      </c>
      <c r="N56" s="13"/>
      <c r="O56" s="14"/>
      <c r="P56" s="15">
        <v>33966453108</v>
      </c>
      <c r="Q56" s="11" t="s">
        <v>3</v>
      </c>
      <c r="R56" s="3">
        <v>31</v>
      </c>
      <c r="S56" s="2">
        <f t="shared" si="0"/>
        <v>550</v>
      </c>
      <c r="T56" s="2">
        <f t="shared" si="1"/>
        <v>17050</v>
      </c>
      <c r="U56" s="11"/>
      <c r="V56" s="16" t="s">
        <v>4</v>
      </c>
      <c r="W56" s="5" t="s">
        <v>241</v>
      </c>
      <c r="X56" s="6"/>
    </row>
    <row r="57" spans="1:24" ht="15" x14ac:dyDescent="0.3">
      <c r="A57" s="4">
        <v>56</v>
      </c>
      <c r="B57" s="4">
        <v>8319</v>
      </c>
      <c r="C57" s="3" t="s">
        <v>0</v>
      </c>
      <c r="D57" s="3" t="s">
        <v>288</v>
      </c>
      <c r="E57" s="10">
        <v>31516</v>
      </c>
      <c r="F57" s="11" t="s">
        <v>289</v>
      </c>
      <c r="G57" s="11" t="s">
        <v>22</v>
      </c>
      <c r="H57" s="11" t="s">
        <v>290</v>
      </c>
      <c r="I57" s="1" t="s">
        <v>291</v>
      </c>
      <c r="J57" s="3"/>
      <c r="K57" s="3"/>
      <c r="L57" s="3"/>
      <c r="M57" s="12" t="s">
        <v>292</v>
      </c>
      <c r="N57" s="13"/>
      <c r="O57" s="14"/>
      <c r="P57" s="15">
        <v>39333772482</v>
      </c>
      <c r="Q57" s="11" t="s">
        <v>16</v>
      </c>
      <c r="R57" s="3">
        <v>31</v>
      </c>
      <c r="S57" s="2">
        <f t="shared" si="0"/>
        <v>550</v>
      </c>
      <c r="T57" s="2">
        <f t="shared" si="1"/>
        <v>17050</v>
      </c>
      <c r="U57" s="11"/>
      <c r="V57" s="16" t="s">
        <v>4</v>
      </c>
      <c r="W57" s="5" t="s">
        <v>241</v>
      </c>
      <c r="X57" s="6"/>
    </row>
    <row r="58" spans="1:24" ht="15" x14ac:dyDescent="0.3">
      <c r="A58" s="4">
        <v>57</v>
      </c>
      <c r="B58" s="4">
        <v>8320</v>
      </c>
      <c r="C58" s="3" t="s">
        <v>0</v>
      </c>
      <c r="D58" s="3" t="s">
        <v>293</v>
      </c>
      <c r="E58" s="10">
        <v>27400</v>
      </c>
      <c r="F58" s="11" t="s">
        <v>294</v>
      </c>
      <c r="G58" s="11" t="s">
        <v>1</v>
      </c>
      <c r="H58" s="11" t="s">
        <v>295</v>
      </c>
      <c r="I58" s="1" t="s">
        <v>296</v>
      </c>
      <c r="J58" s="3"/>
      <c r="K58" s="3"/>
      <c r="L58" s="3"/>
      <c r="M58" s="12" t="s">
        <v>297</v>
      </c>
      <c r="N58" s="13"/>
      <c r="O58" s="14"/>
      <c r="P58" s="15">
        <v>20127300751</v>
      </c>
      <c r="Q58" s="11" t="s">
        <v>3</v>
      </c>
      <c r="R58" s="3">
        <v>31</v>
      </c>
      <c r="S58" s="2">
        <f t="shared" si="0"/>
        <v>550</v>
      </c>
      <c r="T58" s="2">
        <f t="shared" si="1"/>
        <v>17050</v>
      </c>
      <c r="U58" s="11"/>
      <c r="V58" s="16" t="s">
        <v>4</v>
      </c>
      <c r="W58" s="5" t="s">
        <v>241</v>
      </c>
      <c r="X58" s="6"/>
    </row>
    <row r="59" spans="1:24" ht="15" x14ac:dyDescent="0.3">
      <c r="A59" s="4">
        <v>58</v>
      </c>
      <c r="B59" s="4">
        <v>8321</v>
      </c>
      <c r="C59" s="3" t="s">
        <v>0</v>
      </c>
      <c r="D59" s="3" t="s">
        <v>298</v>
      </c>
      <c r="E59" s="10">
        <v>30049</v>
      </c>
      <c r="F59" s="11" t="s">
        <v>299</v>
      </c>
      <c r="G59" s="11" t="s">
        <v>1</v>
      </c>
      <c r="H59" s="11" t="s">
        <v>300</v>
      </c>
      <c r="I59" s="1" t="s">
        <v>301</v>
      </c>
      <c r="J59" s="3"/>
      <c r="K59" s="3"/>
      <c r="L59" s="3"/>
      <c r="M59" s="12" t="s">
        <v>302</v>
      </c>
      <c r="N59" s="13"/>
      <c r="O59" s="14"/>
      <c r="P59" s="15">
        <v>20247636693</v>
      </c>
      <c r="Q59" s="11" t="s">
        <v>16</v>
      </c>
      <c r="R59" s="3">
        <v>31</v>
      </c>
      <c r="S59" s="2">
        <f t="shared" si="0"/>
        <v>550</v>
      </c>
      <c r="T59" s="2">
        <f t="shared" si="1"/>
        <v>17050</v>
      </c>
      <c r="U59" s="11"/>
      <c r="V59" s="16" t="s">
        <v>4</v>
      </c>
      <c r="W59" s="5" t="s">
        <v>241</v>
      </c>
      <c r="X59" s="6"/>
    </row>
    <row r="60" spans="1:24" ht="15" x14ac:dyDescent="0.3">
      <c r="A60" s="4">
        <v>59</v>
      </c>
      <c r="B60" s="4">
        <v>8322</v>
      </c>
      <c r="C60" s="3" t="s">
        <v>0</v>
      </c>
      <c r="D60" s="3" t="s">
        <v>303</v>
      </c>
      <c r="E60" s="10">
        <v>27594</v>
      </c>
      <c r="F60" s="11" t="s">
        <v>304</v>
      </c>
      <c r="G60" s="11" t="s">
        <v>1</v>
      </c>
      <c r="H60" s="11" t="s">
        <v>305</v>
      </c>
      <c r="I60" s="1" t="s">
        <v>306</v>
      </c>
      <c r="J60" s="3"/>
      <c r="K60" s="3"/>
      <c r="L60" s="3"/>
      <c r="M60" s="12" t="s">
        <v>307</v>
      </c>
      <c r="N60" s="13"/>
      <c r="O60" s="14"/>
      <c r="P60" s="15">
        <v>20127300343</v>
      </c>
      <c r="Q60" s="11" t="s">
        <v>3</v>
      </c>
      <c r="R60" s="3">
        <v>31</v>
      </c>
      <c r="S60" s="2">
        <f t="shared" si="0"/>
        <v>550</v>
      </c>
      <c r="T60" s="2">
        <f t="shared" si="1"/>
        <v>17050</v>
      </c>
      <c r="U60" s="11"/>
      <c r="V60" s="16" t="s">
        <v>4</v>
      </c>
      <c r="W60" s="5" t="s">
        <v>241</v>
      </c>
      <c r="X60" s="6"/>
    </row>
    <row r="61" spans="1:24" s="27" customFormat="1" ht="15" x14ac:dyDescent="0.3">
      <c r="A61" s="17">
        <v>60</v>
      </c>
      <c r="B61" s="17">
        <v>8327</v>
      </c>
      <c r="C61" s="18" t="s">
        <v>0</v>
      </c>
      <c r="D61" s="18" t="s">
        <v>308</v>
      </c>
      <c r="E61" s="19">
        <v>34897</v>
      </c>
      <c r="F61" s="20" t="s">
        <v>309</v>
      </c>
      <c r="G61" s="20" t="s">
        <v>1</v>
      </c>
      <c r="H61" s="20" t="s">
        <v>317</v>
      </c>
      <c r="I61" s="7" t="s">
        <v>318</v>
      </c>
      <c r="J61" s="18"/>
      <c r="K61" s="18"/>
      <c r="L61" s="18"/>
      <c r="M61" s="21" t="s">
        <v>319</v>
      </c>
      <c r="N61" s="22"/>
      <c r="O61" s="23"/>
      <c r="P61" s="24">
        <v>97017524379</v>
      </c>
      <c r="Q61" s="20" t="s">
        <v>6</v>
      </c>
      <c r="R61" s="18">
        <v>17</v>
      </c>
      <c r="S61" s="9">
        <f t="shared" si="0"/>
        <v>550</v>
      </c>
      <c r="T61" s="9">
        <f t="shared" si="1"/>
        <v>9350</v>
      </c>
      <c r="U61" s="20">
        <f>SUM(T42:T61)</f>
        <v>333300</v>
      </c>
      <c r="V61" s="25" t="s">
        <v>4</v>
      </c>
      <c r="W61" s="26">
        <v>46163</v>
      </c>
      <c r="X61" s="8"/>
    </row>
    <row r="62" spans="1:24" ht="15" x14ac:dyDescent="0.3">
      <c r="A62" s="4">
        <v>61</v>
      </c>
      <c r="B62" s="4">
        <v>8328</v>
      </c>
      <c r="C62" s="3" t="s">
        <v>0</v>
      </c>
      <c r="D62" s="3" t="s">
        <v>310</v>
      </c>
      <c r="E62" s="10" t="s">
        <v>316</v>
      </c>
      <c r="F62" s="11" t="s">
        <v>311</v>
      </c>
      <c r="G62" s="11" t="s">
        <v>1</v>
      </c>
      <c r="H62" s="11" t="s">
        <v>320</v>
      </c>
      <c r="I62" s="1" t="s">
        <v>321</v>
      </c>
      <c r="J62" s="3"/>
      <c r="K62" s="3"/>
      <c r="L62" s="3"/>
      <c r="M62" s="12" t="s">
        <v>322</v>
      </c>
      <c r="N62" s="13"/>
      <c r="O62" s="14"/>
      <c r="P62" s="15">
        <v>97017524437</v>
      </c>
      <c r="Q62" s="11" t="s">
        <v>6</v>
      </c>
      <c r="R62" s="3">
        <v>31</v>
      </c>
      <c r="S62" s="2">
        <f t="shared" si="0"/>
        <v>550</v>
      </c>
      <c r="T62" s="2">
        <f t="shared" si="1"/>
        <v>17050</v>
      </c>
      <c r="U62" s="11"/>
      <c r="V62" s="16" t="s">
        <v>4</v>
      </c>
      <c r="W62" s="5">
        <v>46163</v>
      </c>
      <c r="X62" s="6"/>
    </row>
    <row r="63" spans="1:24" ht="15" x14ac:dyDescent="0.3">
      <c r="A63" s="4">
        <v>62</v>
      </c>
      <c r="B63" s="4">
        <v>8329</v>
      </c>
      <c r="C63" s="3" t="s">
        <v>0</v>
      </c>
      <c r="D63" s="3" t="s">
        <v>312</v>
      </c>
      <c r="E63" s="10">
        <v>31778</v>
      </c>
      <c r="F63" s="11" t="s">
        <v>313</v>
      </c>
      <c r="G63" s="11" t="s">
        <v>1</v>
      </c>
      <c r="H63" s="11" t="s">
        <v>323</v>
      </c>
      <c r="I63" s="1" t="s">
        <v>324</v>
      </c>
      <c r="J63" s="3"/>
      <c r="K63" s="3"/>
      <c r="L63" s="3"/>
      <c r="M63" s="12" t="s">
        <v>325</v>
      </c>
      <c r="N63" s="13"/>
      <c r="O63" s="14"/>
      <c r="P63" s="15">
        <v>97017528078</v>
      </c>
      <c r="Q63" s="11" t="s">
        <v>6</v>
      </c>
      <c r="R63" s="3">
        <v>31</v>
      </c>
      <c r="S63" s="2">
        <f t="shared" si="0"/>
        <v>550</v>
      </c>
      <c r="T63" s="2">
        <f t="shared" si="1"/>
        <v>17050</v>
      </c>
      <c r="U63" s="11"/>
      <c r="V63" s="16" t="s">
        <v>4</v>
      </c>
      <c r="W63" s="5">
        <v>46163</v>
      </c>
      <c r="X63" s="6"/>
    </row>
    <row r="64" spans="1:24" ht="15" x14ac:dyDescent="0.3">
      <c r="A64" s="4">
        <v>63</v>
      </c>
      <c r="B64" s="4">
        <v>8330</v>
      </c>
      <c r="C64" s="3" t="s">
        <v>0</v>
      </c>
      <c r="D64" s="3" t="s">
        <v>314</v>
      </c>
      <c r="E64" s="10">
        <v>34328</v>
      </c>
      <c r="F64" s="11" t="s">
        <v>315</v>
      </c>
      <c r="G64" s="11" t="s">
        <v>22</v>
      </c>
      <c r="H64" s="11" t="s">
        <v>326</v>
      </c>
      <c r="I64" s="1" t="s">
        <v>327</v>
      </c>
      <c r="J64" s="3"/>
      <c r="K64" s="3"/>
      <c r="L64" s="3"/>
      <c r="M64" s="12" t="s">
        <v>328</v>
      </c>
      <c r="N64" s="13"/>
      <c r="O64" s="14"/>
      <c r="P64" s="15">
        <v>97016541704</v>
      </c>
      <c r="Q64" s="11" t="s">
        <v>6</v>
      </c>
      <c r="R64" s="3">
        <v>31</v>
      </c>
      <c r="S64" s="2">
        <f t="shared" si="0"/>
        <v>550</v>
      </c>
      <c r="T64" s="2">
        <f t="shared" si="1"/>
        <v>17050</v>
      </c>
      <c r="U64" s="11"/>
      <c r="V64" s="16" t="s">
        <v>4</v>
      </c>
      <c r="W64" s="5">
        <v>46191</v>
      </c>
      <c r="X64" s="6"/>
    </row>
    <row r="65" spans="1:24" ht="15" x14ac:dyDescent="0.3">
      <c r="A65" s="4">
        <v>64</v>
      </c>
      <c r="B65" s="4">
        <v>8363</v>
      </c>
      <c r="C65" s="3" t="s">
        <v>0</v>
      </c>
      <c r="D65" s="3" t="s">
        <v>329</v>
      </c>
      <c r="E65" s="10">
        <v>36892</v>
      </c>
      <c r="F65" s="11" t="s">
        <v>330</v>
      </c>
      <c r="G65" s="11" t="s">
        <v>1</v>
      </c>
      <c r="H65" s="11" t="s">
        <v>340</v>
      </c>
      <c r="I65" s="1" t="s">
        <v>341</v>
      </c>
      <c r="J65" s="3"/>
      <c r="K65" s="3"/>
      <c r="L65" s="3"/>
      <c r="M65" s="12" t="s">
        <v>342</v>
      </c>
      <c r="N65" s="13"/>
      <c r="O65" s="14"/>
      <c r="P65" s="15">
        <v>97017594110</v>
      </c>
      <c r="Q65" s="11" t="s">
        <v>6</v>
      </c>
      <c r="R65" s="3">
        <v>31</v>
      </c>
      <c r="S65" s="2">
        <f t="shared" si="0"/>
        <v>550</v>
      </c>
      <c r="T65" s="2">
        <f t="shared" si="1"/>
        <v>17050</v>
      </c>
      <c r="U65" s="11"/>
      <c r="V65" s="16" t="s">
        <v>4</v>
      </c>
      <c r="W65" s="5">
        <v>46195</v>
      </c>
      <c r="X65" s="6"/>
    </row>
    <row r="66" spans="1:24" ht="15" x14ac:dyDescent="0.3">
      <c r="A66" s="4">
        <v>65</v>
      </c>
      <c r="B66" s="4">
        <v>8364</v>
      </c>
      <c r="C66" s="3" t="s">
        <v>0</v>
      </c>
      <c r="D66" s="3" t="s">
        <v>331</v>
      </c>
      <c r="E66" s="10">
        <v>32569</v>
      </c>
      <c r="F66" s="11" t="s">
        <v>335</v>
      </c>
      <c r="G66" s="11" t="s">
        <v>1</v>
      </c>
      <c r="H66" s="11" t="s">
        <v>343</v>
      </c>
      <c r="I66" s="1" t="s">
        <v>344</v>
      </c>
      <c r="J66" s="3"/>
      <c r="K66" s="3"/>
      <c r="L66" s="3"/>
      <c r="M66" s="12" t="s">
        <v>345</v>
      </c>
      <c r="N66" s="13"/>
      <c r="O66" s="14"/>
      <c r="P66" s="15">
        <v>20180527531</v>
      </c>
      <c r="Q66" s="11" t="s">
        <v>3</v>
      </c>
      <c r="R66" s="3">
        <v>31</v>
      </c>
      <c r="S66" s="2">
        <f t="shared" ref="S66:S112" si="2">IF(RIGHT(C66,3)="MAZ",550,IF(RIGHT(C66,4)="MATE",570,IF(RIGHT(C66,7)="SKD-III",640,IF(RIGHT(C66,6)="SKD-II",770,IF(RIGHT(C66,5)="SKD-I",900,IF(RIGHT(C66,5)="CPDVR",770,""))))))</f>
        <v>550</v>
      </c>
      <c r="T66" s="2">
        <f t="shared" ref="T66:T112" si="3">S66*R66</f>
        <v>17050</v>
      </c>
      <c r="U66" s="11"/>
      <c r="V66" s="16" t="s">
        <v>4</v>
      </c>
      <c r="W66" s="5">
        <v>46196</v>
      </c>
      <c r="X66" s="6"/>
    </row>
    <row r="67" spans="1:24" ht="15" x14ac:dyDescent="0.3">
      <c r="A67" s="4">
        <v>66</v>
      </c>
      <c r="B67" s="4">
        <v>8365</v>
      </c>
      <c r="C67" s="3" t="s">
        <v>0</v>
      </c>
      <c r="D67" s="3" t="s">
        <v>332</v>
      </c>
      <c r="E67" s="10">
        <v>31506</v>
      </c>
      <c r="F67" s="11" t="s">
        <v>336</v>
      </c>
      <c r="G67" s="11" t="s">
        <v>22</v>
      </c>
      <c r="H67" s="11" t="s">
        <v>346</v>
      </c>
      <c r="I67" s="1" t="s">
        <v>347</v>
      </c>
      <c r="J67" s="3"/>
      <c r="K67" s="3"/>
      <c r="L67" s="3"/>
      <c r="M67" s="12" t="s">
        <v>348</v>
      </c>
      <c r="N67" s="13"/>
      <c r="O67" s="14"/>
      <c r="P67" s="15">
        <v>97003094349</v>
      </c>
      <c r="Q67" s="11" t="s">
        <v>6</v>
      </c>
      <c r="R67" s="3">
        <v>31</v>
      </c>
      <c r="S67" s="2">
        <f t="shared" si="2"/>
        <v>550</v>
      </c>
      <c r="T67" s="2">
        <f t="shared" si="3"/>
        <v>17050</v>
      </c>
      <c r="U67" s="11"/>
      <c r="V67" s="16" t="s">
        <v>4</v>
      </c>
      <c r="W67" s="5">
        <v>46197</v>
      </c>
      <c r="X67" s="6"/>
    </row>
    <row r="68" spans="1:24" ht="15" x14ac:dyDescent="0.3">
      <c r="A68" s="4">
        <v>67</v>
      </c>
      <c r="B68" s="4">
        <v>8366</v>
      </c>
      <c r="C68" s="3" t="s">
        <v>0</v>
      </c>
      <c r="D68" s="3" t="s">
        <v>333</v>
      </c>
      <c r="E68" s="10" t="s">
        <v>339</v>
      </c>
      <c r="F68" s="11" t="s">
        <v>337</v>
      </c>
      <c r="G68" s="11" t="s">
        <v>22</v>
      </c>
      <c r="H68" s="11" t="s">
        <v>349</v>
      </c>
      <c r="I68" s="1" t="s">
        <v>350</v>
      </c>
      <c r="J68" s="3"/>
      <c r="K68" s="3"/>
      <c r="L68" s="3"/>
      <c r="M68" s="12" t="s">
        <v>351</v>
      </c>
      <c r="N68" s="13"/>
      <c r="O68" s="14"/>
      <c r="P68" s="15">
        <v>97007906755</v>
      </c>
      <c r="Q68" s="11" t="s">
        <v>6</v>
      </c>
      <c r="R68" s="3">
        <v>31</v>
      </c>
      <c r="S68" s="2">
        <f t="shared" si="2"/>
        <v>550</v>
      </c>
      <c r="T68" s="2">
        <f t="shared" si="3"/>
        <v>17050</v>
      </c>
      <c r="U68" s="11"/>
      <c r="V68" s="16" t="s">
        <v>4</v>
      </c>
      <c r="W68" s="5">
        <v>46198</v>
      </c>
      <c r="X68" s="6"/>
    </row>
    <row r="69" spans="1:24" ht="15" x14ac:dyDescent="0.3">
      <c r="A69" s="4">
        <v>68</v>
      </c>
      <c r="B69" s="4">
        <v>8367</v>
      </c>
      <c r="C69" s="3" t="s">
        <v>0</v>
      </c>
      <c r="D69" s="3" t="s">
        <v>334</v>
      </c>
      <c r="E69" s="10">
        <v>34343</v>
      </c>
      <c r="F69" s="11" t="s">
        <v>338</v>
      </c>
      <c r="G69" s="11" t="s">
        <v>1</v>
      </c>
      <c r="H69" s="11" t="s">
        <v>352</v>
      </c>
      <c r="I69" s="1" t="s">
        <v>353</v>
      </c>
      <c r="J69" s="3"/>
      <c r="K69" s="3"/>
      <c r="L69" s="3"/>
      <c r="M69" s="12" t="s">
        <v>354</v>
      </c>
      <c r="N69" s="13"/>
      <c r="O69" s="14"/>
      <c r="P69" s="15">
        <v>97017654626</v>
      </c>
      <c r="Q69" s="11" t="s">
        <v>6</v>
      </c>
      <c r="R69" s="3">
        <v>31</v>
      </c>
      <c r="S69" s="2">
        <f t="shared" si="2"/>
        <v>550</v>
      </c>
      <c r="T69" s="2">
        <f t="shared" si="3"/>
        <v>17050</v>
      </c>
      <c r="U69" s="11"/>
      <c r="V69" s="16" t="s">
        <v>4</v>
      </c>
      <c r="W69" s="5">
        <v>46199</v>
      </c>
      <c r="X69" s="6"/>
    </row>
    <row r="70" spans="1:24" ht="15.6" x14ac:dyDescent="0.3">
      <c r="A70" s="29">
        <v>1</v>
      </c>
      <c r="B70" s="29">
        <v>4728</v>
      </c>
      <c r="C70" s="30" t="s">
        <v>35</v>
      </c>
      <c r="D70" s="31" t="s">
        <v>356</v>
      </c>
      <c r="E70" s="32">
        <v>35158</v>
      </c>
      <c r="F70" s="2" t="s">
        <v>357</v>
      </c>
      <c r="G70" s="2" t="s">
        <v>1</v>
      </c>
      <c r="H70" s="2" t="s">
        <v>358</v>
      </c>
      <c r="I70" s="33" t="s">
        <v>359</v>
      </c>
      <c r="J70" s="2" t="s">
        <v>360</v>
      </c>
      <c r="K70" s="2" t="s">
        <v>360</v>
      </c>
      <c r="L70" s="2" t="s">
        <v>360</v>
      </c>
      <c r="M70" s="34" t="s">
        <v>360</v>
      </c>
      <c r="N70" s="1" t="s">
        <v>360</v>
      </c>
      <c r="O70" s="35" t="s">
        <v>361</v>
      </c>
      <c r="P70" s="36">
        <v>97013320798</v>
      </c>
      <c r="Q70" s="33" t="s">
        <v>6</v>
      </c>
      <c r="R70" s="37">
        <v>31</v>
      </c>
      <c r="S70" s="2">
        <f t="shared" si="2"/>
        <v>900</v>
      </c>
      <c r="T70" s="2">
        <f t="shared" si="3"/>
        <v>27900</v>
      </c>
      <c r="U70" s="33" t="s">
        <v>360</v>
      </c>
      <c r="V70" s="38" t="s">
        <v>4</v>
      </c>
      <c r="W70" s="39">
        <v>44604</v>
      </c>
      <c r="X70" s="39" t="s">
        <v>360</v>
      </c>
    </row>
    <row r="71" spans="1:24" ht="15.6" x14ac:dyDescent="0.3">
      <c r="A71" s="29">
        <v>2</v>
      </c>
      <c r="B71" s="29">
        <v>7532</v>
      </c>
      <c r="C71" s="30" t="s">
        <v>18</v>
      </c>
      <c r="D71" s="31" t="s">
        <v>362</v>
      </c>
      <c r="E71" s="32">
        <v>31048</v>
      </c>
      <c r="F71" s="2" t="s">
        <v>363</v>
      </c>
      <c r="G71" s="2" t="s">
        <v>1</v>
      </c>
      <c r="H71" s="2" t="s">
        <v>364</v>
      </c>
      <c r="I71" s="33" t="s">
        <v>365</v>
      </c>
      <c r="J71" s="2"/>
      <c r="K71" s="2"/>
      <c r="L71" s="2"/>
      <c r="M71" s="34" t="s">
        <v>366</v>
      </c>
      <c r="N71" s="1"/>
      <c r="O71" s="35"/>
      <c r="P71" s="36">
        <v>36340110088</v>
      </c>
      <c r="Q71" s="33" t="s">
        <v>367</v>
      </c>
      <c r="R71" s="37">
        <v>31</v>
      </c>
      <c r="S71" s="2">
        <f t="shared" si="2"/>
        <v>570</v>
      </c>
      <c r="T71" s="2">
        <f t="shared" si="3"/>
        <v>17670</v>
      </c>
      <c r="U71" s="33"/>
      <c r="V71" s="38" t="s">
        <v>4</v>
      </c>
      <c r="W71" s="39">
        <v>45895</v>
      </c>
      <c r="X71" s="39"/>
    </row>
    <row r="72" spans="1:24" ht="15.6" x14ac:dyDescent="0.3">
      <c r="A72" s="29">
        <v>3</v>
      </c>
      <c r="B72" s="29">
        <v>7533</v>
      </c>
      <c r="C72" s="30" t="s">
        <v>0</v>
      </c>
      <c r="D72" s="31" t="s">
        <v>368</v>
      </c>
      <c r="E72" s="32">
        <v>29587</v>
      </c>
      <c r="F72" s="2" t="s">
        <v>369</v>
      </c>
      <c r="G72" s="2" t="s">
        <v>1</v>
      </c>
      <c r="H72" s="2" t="s">
        <v>370</v>
      </c>
      <c r="I72" s="33" t="s">
        <v>371</v>
      </c>
      <c r="J72" s="2"/>
      <c r="K72" s="2"/>
      <c r="L72" s="2"/>
      <c r="M72" s="34" t="s">
        <v>372</v>
      </c>
      <c r="N72" s="1"/>
      <c r="O72" s="35"/>
      <c r="P72" s="36">
        <v>97010851766</v>
      </c>
      <c r="Q72" s="33" t="s">
        <v>6</v>
      </c>
      <c r="R72" s="37">
        <v>0</v>
      </c>
      <c r="S72" s="2">
        <f t="shared" si="2"/>
        <v>550</v>
      </c>
      <c r="T72" s="2">
        <f t="shared" si="3"/>
        <v>0</v>
      </c>
      <c r="U72" s="33"/>
      <c r="V72" s="38" t="s">
        <v>4</v>
      </c>
      <c r="W72" s="39">
        <v>45895</v>
      </c>
      <c r="X72" s="39"/>
    </row>
    <row r="73" spans="1:24" ht="15.6" x14ac:dyDescent="0.3">
      <c r="A73" s="29">
        <v>4</v>
      </c>
      <c r="B73" s="29">
        <v>7535</v>
      </c>
      <c r="C73" s="30" t="s">
        <v>0</v>
      </c>
      <c r="D73" s="31" t="s">
        <v>373</v>
      </c>
      <c r="E73" s="32">
        <v>35431</v>
      </c>
      <c r="F73" s="2" t="s">
        <v>374</v>
      </c>
      <c r="G73" s="2" t="s">
        <v>1</v>
      </c>
      <c r="H73" s="2" t="s">
        <v>375</v>
      </c>
      <c r="I73" s="33" t="s">
        <v>376</v>
      </c>
      <c r="J73" s="2"/>
      <c r="K73" s="2"/>
      <c r="L73" s="2"/>
      <c r="M73" s="34" t="s">
        <v>377</v>
      </c>
      <c r="N73" s="1"/>
      <c r="O73" s="35"/>
      <c r="P73" s="36">
        <v>97010848618</v>
      </c>
      <c r="Q73" s="33" t="s">
        <v>6</v>
      </c>
      <c r="R73" s="37">
        <v>31</v>
      </c>
      <c r="S73" s="2">
        <f t="shared" si="2"/>
        <v>550</v>
      </c>
      <c r="T73" s="2">
        <f t="shared" si="3"/>
        <v>17050</v>
      </c>
      <c r="U73" s="33"/>
      <c r="V73" s="38" t="s">
        <v>4</v>
      </c>
      <c r="W73" s="39">
        <v>45895</v>
      </c>
      <c r="X73" s="39"/>
    </row>
    <row r="74" spans="1:24" ht="15.6" x14ac:dyDescent="0.3">
      <c r="A74" s="29">
        <v>5</v>
      </c>
      <c r="B74" s="29">
        <v>7537</v>
      </c>
      <c r="C74" s="30" t="s">
        <v>0</v>
      </c>
      <c r="D74" s="31" t="s">
        <v>378</v>
      </c>
      <c r="E74" s="32">
        <v>36892</v>
      </c>
      <c r="F74" s="2" t="s">
        <v>379</v>
      </c>
      <c r="G74" s="2" t="s">
        <v>1</v>
      </c>
      <c r="H74" s="2" t="s">
        <v>380</v>
      </c>
      <c r="I74" s="33" t="s">
        <v>381</v>
      </c>
      <c r="J74" s="2"/>
      <c r="K74" s="2"/>
      <c r="L74" s="2"/>
      <c r="M74" s="34" t="s">
        <v>382</v>
      </c>
      <c r="N74" s="1"/>
      <c r="O74" s="35"/>
      <c r="P74" s="36">
        <v>97013522194</v>
      </c>
      <c r="Q74" s="33" t="s">
        <v>6</v>
      </c>
      <c r="R74" s="37">
        <v>31</v>
      </c>
      <c r="S74" s="2">
        <f t="shared" si="2"/>
        <v>550</v>
      </c>
      <c r="T74" s="2">
        <f t="shared" si="3"/>
        <v>17050</v>
      </c>
      <c r="U74" s="33"/>
      <c r="V74" s="38" t="s">
        <v>4</v>
      </c>
      <c r="W74" s="39">
        <v>45895</v>
      </c>
      <c r="X74" s="39"/>
    </row>
    <row r="75" spans="1:24" ht="15.6" x14ac:dyDescent="0.3">
      <c r="A75" s="29">
        <v>6</v>
      </c>
      <c r="B75" s="29">
        <v>7538</v>
      </c>
      <c r="C75" s="30" t="s">
        <v>0</v>
      </c>
      <c r="D75" s="31" t="s">
        <v>383</v>
      </c>
      <c r="E75" s="32">
        <v>31413</v>
      </c>
      <c r="F75" s="2" t="s">
        <v>384</v>
      </c>
      <c r="G75" s="2" t="s">
        <v>1</v>
      </c>
      <c r="H75" s="2" t="s">
        <v>385</v>
      </c>
      <c r="I75" s="33" t="s">
        <v>386</v>
      </c>
      <c r="J75" s="2"/>
      <c r="K75" s="2"/>
      <c r="L75" s="2"/>
      <c r="M75" s="34" t="s">
        <v>387</v>
      </c>
      <c r="N75" s="1"/>
      <c r="O75" s="35"/>
      <c r="P75" s="36">
        <v>97013522252</v>
      </c>
      <c r="Q75" s="33" t="s">
        <v>6</v>
      </c>
      <c r="R75" s="37">
        <v>31</v>
      </c>
      <c r="S75" s="2">
        <f t="shared" si="2"/>
        <v>550</v>
      </c>
      <c r="T75" s="2">
        <f t="shared" si="3"/>
        <v>17050</v>
      </c>
      <c r="U75" s="33"/>
      <c r="V75" s="38" t="s">
        <v>4</v>
      </c>
      <c r="W75" s="39">
        <v>45895</v>
      </c>
      <c r="X75" s="39"/>
    </row>
    <row r="76" spans="1:24" ht="15.6" x14ac:dyDescent="0.3">
      <c r="A76" s="29">
        <v>7</v>
      </c>
      <c r="B76" s="29">
        <v>7545</v>
      </c>
      <c r="C76" s="30" t="s">
        <v>0</v>
      </c>
      <c r="D76" s="31" t="s">
        <v>388</v>
      </c>
      <c r="E76" s="32">
        <v>31778</v>
      </c>
      <c r="F76" s="2" t="s">
        <v>389</v>
      </c>
      <c r="G76" s="2" t="s">
        <v>1</v>
      </c>
      <c r="H76" s="2" t="s">
        <v>390</v>
      </c>
      <c r="I76" s="33" t="s">
        <v>391</v>
      </c>
      <c r="J76" s="2">
        <v>0</v>
      </c>
      <c r="K76" s="2">
        <v>0</v>
      </c>
      <c r="L76" s="2">
        <v>0</v>
      </c>
      <c r="M76" s="34" t="s">
        <v>392</v>
      </c>
      <c r="N76" s="1">
        <v>0</v>
      </c>
      <c r="O76" s="35">
        <v>0</v>
      </c>
      <c r="P76" s="36">
        <v>97010848266</v>
      </c>
      <c r="Q76" s="33" t="s">
        <v>6</v>
      </c>
      <c r="R76" s="37">
        <v>31</v>
      </c>
      <c r="S76" s="2">
        <f t="shared" si="2"/>
        <v>550</v>
      </c>
      <c r="T76" s="2">
        <f t="shared" si="3"/>
        <v>17050</v>
      </c>
      <c r="U76" s="33"/>
      <c r="V76" s="38" t="s">
        <v>4</v>
      </c>
      <c r="W76" s="39">
        <v>45895</v>
      </c>
      <c r="X76" s="39"/>
    </row>
    <row r="77" spans="1:24" ht="15.6" x14ac:dyDescent="0.3">
      <c r="A77" s="29">
        <v>8</v>
      </c>
      <c r="B77" s="29">
        <v>7550</v>
      </c>
      <c r="C77" s="30" t="s">
        <v>0</v>
      </c>
      <c r="D77" s="31" t="s">
        <v>393</v>
      </c>
      <c r="E77" s="32">
        <v>26665</v>
      </c>
      <c r="F77" s="2" t="s">
        <v>394</v>
      </c>
      <c r="G77" s="2" t="s">
        <v>1</v>
      </c>
      <c r="H77" s="2" t="s">
        <v>395</v>
      </c>
      <c r="I77" s="33" t="s">
        <v>396</v>
      </c>
      <c r="J77" s="2">
        <v>0</v>
      </c>
      <c r="K77" s="2">
        <v>0</v>
      </c>
      <c r="L77" s="2">
        <v>0</v>
      </c>
      <c r="M77" s="34" t="s">
        <v>397</v>
      </c>
      <c r="N77" s="1">
        <v>0</v>
      </c>
      <c r="O77" s="35">
        <v>0</v>
      </c>
      <c r="P77" s="36">
        <v>97016890529</v>
      </c>
      <c r="Q77" s="33" t="s">
        <v>6</v>
      </c>
      <c r="R77" s="37">
        <v>31</v>
      </c>
      <c r="S77" s="2">
        <f t="shared" si="2"/>
        <v>550</v>
      </c>
      <c r="T77" s="2">
        <f t="shared" si="3"/>
        <v>17050</v>
      </c>
      <c r="U77" s="33"/>
      <c r="V77" s="38" t="s">
        <v>4</v>
      </c>
      <c r="W77" s="39">
        <v>45895</v>
      </c>
      <c r="X77" s="39"/>
    </row>
    <row r="78" spans="1:24" ht="15.6" x14ac:dyDescent="0.3">
      <c r="A78" s="29">
        <v>9</v>
      </c>
      <c r="B78" s="29">
        <v>5517</v>
      </c>
      <c r="C78" s="30" t="s">
        <v>398</v>
      </c>
      <c r="D78" s="31" t="s">
        <v>399</v>
      </c>
      <c r="E78" s="32">
        <v>34335</v>
      </c>
      <c r="F78" s="2" t="s">
        <v>400</v>
      </c>
      <c r="G78" s="2" t="s">
        <v>1</v>
      </c>
      <c r="H78" s="2" t="s">
        <v>401</v>
      </c>
      <c r="I78" s="33" t="s">
        <v>402</v>
      </c>
      <c r="J78" s="2"/>
      <c r="K78" s="2"/>
      <c r="L78" s="2"/>
      <c r="M78" s="34" t="s">
        <v>403</v>
      </c>
      <c r="N78" s="1"/>
      <c r="O78" s="35" t="s">
        <v>404</v>
      </c>
      <c r="P78" s="36">
        <v>97013226344</v>
      </c>
      <c r="Q78" s="33" t="s">
        <v>6</v>
      </c>
      <c r="R78" s="37">
        <v>31</v>
      </c>
      <c r="S78" s="2">
        <f t="shared" si="2"/>
        <v>770</v>
      </c>
      <c r="T78" s="2">
        <f t="shared" si="3"/>
        <v>23870</v>
      </c>
      <c r="U78" s="33"/>
      <c r="V78" s="38" t="s">
        <v>4</v>
      </c>
      <c r="W78" s="39">
        <v>44604</v>
      </c>
      <c r="X78" s="39"/>
    </row>
    <row r="79" spans="1:24" ht="15.6" x14ac:dyDescent="0.3">
      <c r="A79" s="29">
        <v>10</v>
      </c>
      <c r="B79" s="29" t="s">
        <v>405</v>
      </c>
      <c r="C79" s="30" t="s">
        <v>35</v>
      </c>
      <c r="D79" s="31" t="s">
        <v>406</v>
      </c>
      <c r="E79" s="32">
        <v>32243</v>
      </c>
      <c r="F79" s="2" t="s">
        <v>407</v>
      </c>
      <c r="G79" s="2" t="s">
        <v>1</v>
      </c>
      <c r="H79" s="2" t="s">
        <v>408</v>
      </c>
      <c r="I79" s="33" t="s">
        <v>409</v>
      </c>
      <c r="J79" s="2" t="s">
        <v>410</v>
      </c>
      <c r="K79" s="2" t="s">
        <v>411</v>
      </c>
      <c r="L79" s="2"/>
      <c r="M79" s="34" t="s">
        <v>412</v>
      </c>
      <c r="N79" s="1"/>
      <c r="O79" s="35" t="s">
        <v>361</v>
      </c>
      <c r="P79" s="36">
        <v>20110150554</v>
      </c>
      <c r="Q79" s="33" t="s">
        <v>413</v>
      </c>
      <c r="R79" s="37">
        <v>31</v>
      </c>
      <c r="S79" s="2">
        <f t="shared" si="2"/>
        <v>900</v>
      </c>
      <c r="T79" s="2">
        <f t="shared" si="3"/>
        <v>27900</v>
      </c>
      <c r="U79" s="33"/>
      <c r="V79" s="38" t="s">
        <v>4</v>
      </c>
      <c r="W79" s="39">
        <v>45334</v>
      </c>
      <c r="X79" s="39"/>
    </row>
    <row r="80" spans="1:24" ht="15.6" x14ac:dyDescent="0.3">
      <c r="A80" s="29">
        <v>11</v>
      </c>
      <c r="B80" s="29" t="s">
        <v>414</v>
      </c>
      <c r="C80" s="30" t="s">
        <v>35</v>
      </c>
      <c r="D80" s="31" t="s">
        <v>415</v>
      </c>
      <c r="E80" s="32">
        <v>31716</v>
      </c>
      <c r="F80" s="2" t="s">
        <v>416</v>
      </c>
      <c r="G80" s="2" t="s">
        <v>1</v>
      </c>
      <c r="H80" s="2" t="s">
        <v>417</v>
      </c>
      <c r="I80" s="33" t="s">
        <v>418</v>
      </c>
      <c r="J80" s="2" t="s">
        <v>410</v>
      </c>
      <c r="K80" s="2" t="s">
        <v>411</v>
      </c>
      <c r="L80" s="2"/>
      <c r="M80" s="34" t="s">
        <v>419</v>
      </c>
      <c r="N80" s="1"/>
      <c r="O80" s="35" t="s">
        <v>361</v>
      </c>
      <c r="P80" s="36">
        <v>20095058949</v>
      </c>
      <c r="Q80" s="33" t="s">
        <v>413</v>
      </c>
      <c r="R80" s="37">
        <v>31</v>
      </c>
      <c r="S80" s="2">
        <f t="shared" si="2"/>
        <v>900</v>
      </c>
      <c r="T80" s="2">
        <f t="shared" si="3"/>
        <v>27900</v>
      </c>
      <c r="U80" s="33"/>
      <c r="V80" s="38" t="s">
        <v>4</v>
      </c>
      <c r="W80" s="39">
        <v>44604</v>
      </c>
      <c r="X80" s="39"/>
    </row>
    <row r="81" spans="1:24" ht="15.6" x14ac:dyDescent="0.3">
      <c r="A81" s="29">
        <v>12</v>
      </c>
      <c r="B81" s="29">
        <v>2968</v>
      </c>
      <c r="C81" s="30" t="s">
        <v>9</v>
      </c>
      <c r="D81" s="31" t="s">
        <v>420</v>
      </c>
      <c r="E81" s="32">
        <v>30317</v>
      </c>
      <c r="F81" s="2" t="s">
        <v>421</v>
      </c>
      <c r="G81" s="2" t="s">
        <v>1</v>
      </c>
      <c r="H81" s="2" t="s">
        <v>422</v>
      </c>
      <c r="I81" s="33" t="s">
        <v>423</v>
      </c>
      <c r="J81" s="2"/>
      <c r="K81" s="2"/>
      <c r="L81" s="2"/>
      <c r="M81" s="34" t="s">
        <v>424</v>
      </c>
      <c r="N81" s="1"/>
      <c r="O81" s="35" t="s">
        <v>361</v>
      </c>
      <c r="P81" s="36">
        <v>97012379856</v>
      </c>
      <c r="Q81" s="33" t="s">
        <v>6</v>
      </c>
      <c r="R81" s="37">
        <v>31</v>
      </c>
      <c r="S81" s="2">
        <f t="shared" si="2"/>
        <v>770</v>
      </c>
      <c r="T81" s="2">
        <f t="shared" si="3"/>
        <v>23870</v>
      </c>
      <c r="U81" s="33"/>
      <c r="V81" s="38" t="s">
        <v>4</v>
      </c>
      <c r="W81" s="39">
        <v>44604</v>
      </c>
      <c r="X81" s="39"/>
    </row>
    <row r="82" spans="1:24" ht="15.6" x14ac:dyDescent="0.3">
      <c r="A82" s="29">
        <v>13</v>
      </c>
      <c r="B82" s="29">
        <v>5307</v>
      </c>
      <c r="C82" s="30" t="s">
        <v>425</v>
      </c>
      <c r="D82" s="31" t="s">
        <v>426</v>
      </c>
      <c r="E82" s="32">
        <v>33067</v>
      </c>
      <c r="F82" s="2" t="s">
        <v>427</v>
      </c>
      <c r="G82" s="2" t="s">
        <v>1</v>
      </c>
      <c r="H82" s="2" t="s">
        <v>428</v>
      </c>
      <c r="I82" s="33" t="s">
        <v>429</v>
      </c>
      <c r="J82" s="2"/>
      <c r="K82" s="2"/>
      <c r="L82" s="2"/>
      <c r="M82" s="34" t="s">
        <v>430</v>
      </c>
      <c r="N82" s="1"/>
      <c r="O82" s="35" t="s">
        <v>431</v>
      </c>
      <c r="P82" s="36">
        <v>97016168966</v>
      </c>
      <c r="Q82" s="33" t="s">
        <v>6</v>
      </c>
      <c r="R82" s="37">
        <v>14</v>
      </c>
      <c r="S82" s="2">
        <f t="shared" si="2"/>
        <v>550</v>
      </c>
      <c r="T82" s="2">
        <f t="shared" si="3"/>
        <v>7700</v>
      </c>
      <c r="U82" s="33"/>
      <c r="V82" s="38" t="s">
        <v>4</v>
      </c>
      <c r="W82" s="39">
        <v>44604</v>
      </c>
      <c r="X82" s="39"/>
    </row>
    <row r="83" spans="1:24" ht="15.6" x14ac:dyDescent="0.3">
      <c r="A83" s="29">
        <v>14</v>
      </c>
      <c r="B83" s="29">
        <v>7890</v>
      </c>
      <c r="C83" s="30" t="s">
        <v>0</v>
      </c>
      <c r="D83" s="31" t="s">
        <v>432</v>
      </c>
      <c r="E83" s="32">
        <v>28491</v>
      </c>
      <c r="F83" s="2" t="s">
        <v>433</v>
      </c>
      <c r="G83" s="2" t="s">
        <v>1</v>
      </c>
      <c r="H83" s="2" t="s">
        <v>434</v>
      </c>
      <c r="I83" s="33" t="s">
        <v>435</v>
      </c>
      <c r="J83" s="2"/>
      <c r="K83" s="2"/>
      <c r="L83" s="2"/>
      <c r="M83" s="34" t="s">
        <v>436</v>
      </c>
      <c r="N83" s="1"/>
      <c r="O83" s="35" t="s">
        <v>437</v>
      </c>
      <c r="P83" s="36">
        <v>97017302516</v>
      </c>
      <c r="Q83" s="33" t="s">
        <v>6</v>
      </c>
      <c r="R83" s="37">
        <v>31</v>
      </c>
      <c r="S83" s="2">
        <f t="shared" si="2"/>
        <v>550</v>
      </c>
      <c r="T83" s="2">
        <f t="shared" si="3"/>
        <v>17050</v>
      </c>
      <c r="U83" s="33"/>
      <c r="V83" s="38" t="s">
        <v>4</v>
      </c>
      <c r="W83" s="39">
        <v>46013</v>
      </c>
      <c r="X83" s="39"/>
    </row>
    <row r="84" spans="1:24" ht="15.6" x14ac:dyDescent="0.3">
      <c r="A84" s="29">
        <v>15</v>
      </c>
      <c r="B84" s="29">
        <v>8000</v>
      </c>
      <c r="C84" s="30" t="s">
        <v>0</v>
      </c>
      <c r="D84" s="31" t="s">
        <v>438</v>
      </c>
      <c r="E84" s="32">
        <v>30317</v>
      </c>
      <c r="F84" s="2" t="s">
        <v>439</v>
      </c>
      <c r="G84" s="2" t="s">
        <v>1</v>
      </c>
      <c r="H84" s="2" t="s">
        <v>440</v>
      </c>
      <c r="I84" s="33" t="s">
        <v>441</v>
      </c>
      <c r="J84" s="2"/>
      <c r="K84" s="2"/>
      <c r="L84" s="2"/>
      <c r="M84" s="34" t="s">
        <v>442</v>
      </c>
      <c r="N84" s="1"/>
      <c r="O84" s="35" t="s">
        <v>443</v>
      </c>
      <c r="P84" s="36">
        <v>97014962009</v>
      </c>
      <c r="Q84" s="33" t="s">
        <v>6</v>
      </c>
      <c r="R84" s="37">
        <v>31</v>
      </c>
      <c r="S84" s="2">
        <f t="shared" si="2"/>
        <v>550</v>
      </c>
      <c r="T84" s="2">
        <f t="shared" si="3"/>
        <v>17050</v>
      </c>
      <c r="U84" s="33"/>
      <c r="V84" s="38" t="s">
        <v>4</v>
      </c>
      <c r="W84" s="39">
        <v>46013</v>
      </c>
      <c r="X84" s="39"/>
    </row>
    <row r="85" spans="1:24" ht="15.6" x14ac:dyDescent="0.3">
      <c r="A85" s="29">
        <v>16</v>
      </c>
      <c r="B85" s="29">
        <v>8002</v>
      </c>
      <c r="C85" s="30" t="s">
        <v>0</v>
      </c>
      <c r="D85" s="31" t="s">
        <v>444</v>
      </c>
      <c r="E85" s="32">
        <v>39083</v>
      </c>
      <c r="F85" s="2" t="s">
        <v>445</v>
      </c>
      <c r="G85" s="2" t="s">
        <v>1</v>
      </c>
      <c r="H85" s="2" t="s">
        <v>446</v>
      </c>
      <c r="I85" s="33" t="s">
        <v>447</v>
      </c>
      <c r="J85" s="2"/>
      <c r="K85" s="2"/>
      <c r="L85" s="2"/>
      <c r="M85" s="34" t="s">
        <v>448</v>
      </c>
      <c r="N85" s="1"/>
      <c r="O85" s="35" t="s">
        <v>443</v>
      </c>
      <c r="P85" s="36">
        <v>97017201619</v>
      </c>
      <c r="Q85" s="33" t="s">
        <v>6</v>
      </c>
      <c r="R85" s="37">
        <v>31</v>
      </c>
      <c r="S85" s="2">
        <f t="shared" si="2"/>
        <v>550</v>
      </c>
      <c r="T85" s="2">
        <f t="shared" si="3"/>
        <v>17050</v>
      </c>
      <c r="U85" s="33"/>
      <c r="V85" s="38" t="s">
        <v>4</v>
      </c>
      <c r="W85" s="39">
        <v>46013</v>
      </c>
      <c r="X85" s="39"/>
    </row>
    <row r="86" spans="1:24" ht="15.6" x14ac:dyDescent="0.3">
      <c r="A86" s="29">
        <v>17</v>
      </c>
      <c r="B86" s="29">
        <v>8004</v>
      </c>
      <c r="C86" s="30" t="s">
        <v>0</v>
      </c>
      <c r="D86" s="31" t="s">
        <v>449</v>
      </c>
      <c r="E86" s="32">
        <v>38426</v>
      </c>
      <c r="F86" s="2" t="s">
        <v>450</v>
      </c>
      <c r="G86" s="2" t="s">
        <v>1</v>
      </c>
      <c r="H86" s="2" t="s">
        <v>451</v>
      </c>
      <c r="I86" s="33" t="s">
        <v>452</v>
      </c>
      <c r="J86" s="2"/>
      <c r="K86" s="2"/>
      <c r="L86" s="2"/>
      <c r="M86" s="34" t="s">
        <v>453</v>
      </c>
      <c r="N86" s="1"/>
      <c r="O86" s="35" t="s">
        <v>443</v>
      </c>
      <c r="P86" s="36">
        <v>97013737857</v>
      </c>
      <c r="Q86" s="33" t="s">
        <v>6</v>
      </c>
      <c r="R86" s="37">
        <v>31</v>
      </c>
      <c r="S86" s="2">
        <f t="shared" si="2"/>
        <v>550</v>
      </c>
      <c r="T86" s="2">
        <f t="shared" si="3"/>
        <v>17050</v>
      </c>
      <c r="U86" s="33"/>
      <c r="V86" s="38" t="s">
        <v>4</v>
      </c>
      <c r="W86" s="39">
        <v>46013</v>
      </c>
      <c r="X86" s="39"/>
    </row>
    <row r="87" spans="1:24" ht="15.6" x14ac:dyDescent="0.3">
      <c r="A87" s="29">
        <v>18</v>
      </c>
      <c r="B87" s="29">
        <v>8005</v>
      </c>
      <c r="C87" s="30" t="s">
        <v>0</v>
      </c>
      <c r="D87" s="31" t="s">
        <v>454</v>
      </c>
      <c r="E87" s="32">
        <v>35377</v>
      </c>
      <c r="F87" s="2" t="s">
        <v>455</v>
      </c>
      <c r="G87" s="2" t="s">
        <v>1</v>
      </c>
      <c r="H87" s="2" t="s">
        <v>456</v>
      </c>
      <c r="I87" s="33" t="s">
        <v>457</v>
      </c>
      <c r="J87" s="2"/>
      <c r="K87" s="2"/>
      <c r="L87" s="2"/>
      <c r="M87" s="34" t="s">
        <v>458</v>
      </c>
      <c r="N87" s="1"/>
      <c r="O87" s="35" t="s">
        <v>443</v>
      </c>
      <c r="P87" s="36">
        <v>97017201085</v>
      </c>
      <c r="Q87" s="33" t="s">
        <v>6</v>
      </c>
      <c r="R87" s="37">
        <v>31</v>
      </c>
      <c r="S87" s="2">
        <f t="shared" si="2"/>
        <v>550</v>
      </c>
      <c r="T87" s="2">
        <f t="shared" si="3"/>
        <v>17050</v>
      </c>
      <c r="U87" s="33"/>
      <c r="V87" s="38" t="s">
        <v>4</v>
      </c>
      <c r="W87" s="39">
        <v>46013</v>
      </c>
      <c r="X87" s="39"/>
    </row>
    <row r="88" spans="1:24" ht="15.6" x14ac:dyDescent="0.3">
      <c r="A88" s="29">
        <v>19</v>
      </c>
      <c r="B88" s="29">
        <v>4813</v>
      </c>
      <c r="C88" s="30" t="s">
        <v>398</v>
      </c>
      <c r="D88" s="31" t="s">
        <v>459</v>
      </c>
      <c r="E88" s="32">
        <v>34020</v>
      </c>
      <c r="F88" s="2" t="s">
        <v>460</v>
      </c>
      <c r="G88" s="2" t="s">
        <v>1</v>
      </c>
      <c r="H88" s="2" t="s">
        <v>461</v>
      </c>
      <c r="I88" s="33" t="s">
        <v>462</v>
      </c>
      <c r="J88" s="2"/>
      <c r="K88" s="2"/>
      <c r="L88" s="2"/>
      <c r="M88" s="34" t="s">
        <v>463</v>
      </c>
      <c r="N88" s="1"/>
      <c r="O88" s="35" t="s">
        <v>361</v>
      </c>
      <c r="P88" s="36">
        <v>39979588681</v>
      </c>
      <c r="Q88" s="33" t="s">
        <v>464</v>
      </c>
      <c r="R88" s="37">
        <v>26</v>
      </c>
      <c r="S88" s="2">
        <f t="shared" si="2"/>
        <v>770</v>
      </c>
      <c r="T88" s="2">
        <f t="shared" si="3"/>
        <v>20020</v>
      </c>
      <c r="U88" s="33"/>
      <c r="V88" s="38" t="s">
        <v>4</v>
      </c>
      <c r="W88" s="39">
        <v>44604</v>
      </c>
      <c r="X88" s="39"/>
    </row>
    <row r="89" spans="1:24" ht="15.6" x14ac:dyDescent="0.3">
      <c r="A89" s="40">
        <v>20</v>
      </c>
      <c r="B89" s="40">
        <v>7515</v>
      </c>
      <c r="C89" s="41" t="s">
        <v>0</v>
      </c>
      <c r="D89" s="42" t="s">
        <v>465</v>
      </c>
      <c r="E89" s="43">
        <v>30682</v>
      </c>
      <c r="F89" s="9" t="s">
        <v>369</v>
      </c>
      <c r="G89" s="9" t="s">
        <v>1</v>
      </c>
      <c r="H89" s="9" t="s">
        <v>466</v>
      </c>
      <c r="I89" s="44" t="s">
        <v>467</v>
      </c>
      <c r="J89" s="9">
        <v>0</v>
      </c>
      <c r="K89" s="9">
        <v>0</v>
      </c>
      <c r="L89" s="9">
        <v>0</v>
      </c>
      <c r="M89" s="45" t="s">
        <v>468</v>
      </c>
      <c r="N89" s="7">
        <v>0</v>
      </c>
      <c r="O89" s="46" t="s">
        <v>21</v>
      </c>
      <c r="P89" s="47">
        <v>97012567409</v>
      </c>
      <c r="Q89" s="44" t="s">
        <v>6</v>
      </c>
      <c r="R89" s="48">
        <v>31</v>
      </c>
      <c r="S89" s="9">
        <f t="shared" si="2"/>
        <v>550</v>
      </c>
      <c r="T89" s="9">
        <f t="shared" si="3"/>
        <v>17050</v>
      </c>
      <c r="U89" s="44">
        <f>SUM(T70:T89)</f>
        <v>364380</v>
      </c>
      <c r="V89" s="49" t="s">
        <v>4</v>
      </c>
      <c r="W89" s="50">
        <v>45890</v>
      </c>
      <c r="X89" s="50"/>
    </row>
    <row r="90" spans="1:24" ht="15.6" x14ac:dyDescent="0.3">
      <c r="A90" s="29">
        <v>21</v>
      </c>
      <c r="B90" s="29">
        <v>5061</v>
      </c>
      <c r="C90" s="30" t="s">
        <v>398</v>
      </c>
      <c r="D90" s="31" t="s">
        <v>469</v>
      </c>
      <c r="E90" s="32">
        <v>31933</v>
      </c>
      <c r="F90" s="2" t="s">
        <v>470</v>
      </c>
      <c r="G90" s="2" t="s">
        <v>1</v>
      </c>
      <c r="H90" s="2" t="s">
        <v>471</v>
      </c>
      <c r="I90" s="33" t="s">
        <v>472</v>
      </c>
      <c r="J90" s="2" t="s">
        <v>410</v>
      </c>
      <c r="K90" s="2" t="s">
        <v>360</v>
      </c>
      <c r="L90" s="2" t="s">
        <v>360</v>
      </c>
      <c r="M90" s="34" t="s">
        <v>473</v>
      </c>
      <c r="N90" s="1" t="s">
        <v>360</v>
      </c>
      <c r="O90" s="35" t="s">
        <v>361</v>
      </c>
      <c r="P90" s="36">
        <v>20055576559</v>
      </c>
      <c r="Q90" s="33" t="s">
        <v>474</v>
      </c>
      <c r="R90" s="37">
        <v>18</v>
      </c>
      <c r="S90" s="2">
        <f t="shared" si="2"/>
        <v>770</v>
      </c>
      <c r="T90" s="2">
        <f t="shared" si="3"/>
        <v>13860</v>
      </c>
      <c r="U90" s="33"/>
      <c r="V90" s="38" t="s">
        <v>4</v>
      </c>
      <c r="W90" s="39">
        <v>45334</v>
      </c>
      <c r="X90" s="39" t="s">
        <v>360</v>
      </c>
    </row>
    <row r="91" spans="1:24" ht="15.6" x14ac:dyDescent="0.3">
      <c r="A91" s="29">
        <v>22</v>
      </c>
      <c r="B91" s="29" t="s">
        <v>475</v>
      </c>
      <c r="C91" s="30" t="s">
        <v>35</v>
      </c>
      <c r="D91" s="31" t="s">
        <v>476</v>
      </c>
      <c r="E91" s="32">
        <v>35124</v>
      </c>
      <c r="F91" s="2" t="s">
        <v>477</v>
      </c>
      <c r="G91" s="2" t="s">
        <v>1</v>
      </c>
      <c r="H91" s="2" t="s">
        <v>478</v>
      </c>
      <c r="I91" s="33" t="s">
        <v>479</v>
      </c>
      <c r="J91" s="2" t="s">
        <v>480</v>
      </c>
      <c r="K91" s="2"/>
      <c r="L91" s="2" t="s">
        <v>360</v>
      </c>
      <c r="M91" s="34" t="s">
        <v>481</v>
      </c>
      <c r="N91" s="1" t="s">
        <v>360</v>
      </c>
      <c r="O91" s="35" t="s">
        <v>361</v>
      </c>
      <c r="P91" s="36">
        <v>39737273949</v>
      </c>
      <c r="Q91" s="33" t="s">
        <v>413</v>
      </c>
      <c r="R91" s="37">
        <v>31</v>
      </c>
      <c r="S91" s="2">
        <f t="shared" si="2"/>
        <v>900</v>
      </c>
      <c r="T91" s="2">
        <f t="shared" si="3"/>
        <v>27900</v>
      </c>
      <c r="U91" s="33"/>
      <c r="V91" s="38" t="s">
        <v>4</v>
      </c>
      <c r="W91" s="39">
        <v>44604</v>
      </c>
      <c r="X91" s="39" t="s">
        <v>360</v>
      </c>
    </row>
    <row r="92" spans="1:24" ht="15.6" x14ac:dyDescent="0.3">
      <c r="A92" s="29">
        <v>23</v>
      </c>
      <c r="B92" s="29">
        <v>8145</v>
      </c>
      <c r="C92" s="30" t="s">
        <v>9</v>
      </c>
      <c r="D92" s="31" t="s">
        <v>482</v>
      </c>
      <c r="E92" s="32">
        <v>30682</v>
      </c>
      <c r="F92" s="2" t="s">
        <v>483</v>
      </c>
      <c r="G92" s="2" t="s">
        <v>1</v>
      </c>
      <c r="H92" s="2" t="s">
        <v>484</v>
      </c>
      <c r="I92" s="33" t="s">
        <v>485</v>
      </c>
      <c r="J92" s="2"/>
      <c r="K92" s="2"/>
      <c r="L92" s="2"/>
      <c r="M92" s="34"/>
      <c r="N92" s="1"/>
      <c r="O92" s="35"/>
      <c r="P92" s="36">
        <v>97003605447</v>
      </c>
      <c r="Q92" s="33" t="s">
        <v>6</v>
      </c>
      <c r="R92" s="37">
        <v>31</v>
      </c>
      <c r="S92" s="2">
        <f t="shared" si="2"/>
        <v>770</v>
      </c>
      <c r="T92" s="2">
        <f t="shared" si="3"/>
        <v>23870</v>
      </c>
      <c r="U92" s="33"/>
      <c r="V92" s="38" t="s">
        <v>486</v>
      </c>
      <c r="W92" s="39">
        <v>46097</v>
      </c>
      <c r="X92" s="39"/>
    </row>
    <row r="93" spans="1:24" ht="15.6" x14ac:dyDescent="0.3">
      <c r="A93" s="29">
        <v>24</v>
      </c>
      <c r="B93" s="29">
        <v>7482</v>
      </c>
      <c r="C93" s="30" t="s">
        <v>0</v>
      </c>
      <c r="D93" s="31" t="s">
        <v>487</v>
      </c>
      <c r="E93" s="32">
        <v>28402</v>
      </c>
      <c r="F93" s="2" t="s">
        <v>488</v>
      </c>
      <c r="G93" s="2" t="s">
        <v>1</v>
      </c>
      <c r="H93" s="2" t="s">
        <v>489</v>
      </c>
      <c r="I93" s="51" t="s">
        <v>490</v>
      </c>
      <c r="J93" s="2" t="s">
        <v>360</v>
      </c>
      <c r="K93" s="2" t="s">
        <v>360</v>
      </c>
      <c r="L93" s="2" t="s">
        <v>360</v>
      </c>
      <c r="M93" s="34" t="s">
        <v>491</v>
      </c>
      <c r="N93" s="1" t="s">
        <v>360</v>
      </c>
      <c r="O93" s="35" t="s">
        <v>492</v>
      </c>
      <c r="P93" s="36">
        <v>97016873784</v>
      </c>
      <c r="Q93" s="33" t="s">
        <v>6</v>
      </c>
      <c r="R93" s="37">
        <v>31</v>
      </c>
      <c r="S93" s="2">
        <f t="shared" si="2"/>
        <v>550</v>
      </c>
      <c r="T93" s="2">
        <f t="shared" si="3"/>
        <v>17050</v>
      </c>
      <c r="U93" s="33"/>
      <c r="V93" s="38" t="s">
        <v>4</v>
      </c>
      <c r="W93" s="39">
        <v>45906</v>
      </c>
      <c r="X93" s="39" t="s">
        <v>360</v>
      </c>
    </row>
    <row r="94" spans="1:24" ht="15.6" x14ac:dyDescent="0.3">
      <c r="A94" s="29">
        <v>25</v>
      </c>
      <c r="B94" s="29">
        <v>8257</v>
      </c>
      <c r="C94" s="30" t="s">
        <v>0</v>
      </c>
      <c r="D94" s="31" t="s">
        <v>493</v>
      </c>
      <c r="E94" s="32">
        <v>32143</v>
      </c>
      <c r="F94" s="2" t="s">
        <v>494</v>
      </c>
      <c r="G94" s="2" t="s">
        <v>1</v>
      </c>
      <c r="H94" s="2" t="s">
        <v>495</v>
      </c>
      <c r="I94" s="33" t="s">
        <v>496</v>
      </c>
      <c r="J94" s="2"/>
      <c r="K94" s="2"/>
      <c r="L94" s="2"/>
      <c r="M94" s="34" t="s">
        <v>497</v>
      </c>
      <c r="N94" s="1"/>
      <c r="O94" s="35"/>
      <c r="P94" s="36">
        <v>34615624792</v>
      </c>
      <c r="Q94" s="33" t="s">
        <v>413</v>
      </c>
      <c r="R94" s="37">
        <v>31</v>
      </c>
      <c r="S94" s="2">
        <f t="shared" si="2"/>
        <v>550</v>
      </c>
      <c r="T94" s="2">
        <f t="shared" si="3"/>
        <v>17050</v>
      </c>
      <c r="U94" s="33"/>
      <c r="V94" s="38" t="s">
        <v>4</v>
      </c>
      <c r="W94" s="39">
        <v>46133</v>
      </c>
      <c r="X94" s="39"/>
    </row>
    <row r="95" spans="1:24" ht="15.6" x14ac:dyDescent="0.3">
      <c r="A95" s="29">
        <v>26</v>
      </c>
      <c r="B95" s="29">
        <v>6971</v>
      </c>
      <c r="C95" s="30" t="s">
        <v>0</v>
      </c>
      <c r="D95" s="31" t="s">
        <v>498</v>
      </c>
      <c r="E95" s="32">
        <v>30566</v>
      </c>
      <c r="F95" s="2" t="s">
        <v>499</v>
      </c>
      <c r="G95" s="2" t="s">
        <v>1</v>
      </c>
      <c r="H95" s="2" t="s">
        <v>500</v>
      </c>
      <c r="I95" s="51">
        <v>722977566332</v>
      </c>
      <c r="J95" s="2" t="s">
        <v>360</v>
      </c>
      <c r="K95" s="2" t="s">
        <v>360</v>
      </c>
      <c r="L95" s="2" t="s">
        <v>360</v>
      </c>
      <c r="M95" s="34" t="s">
        <v>501</v>
      </c>
      <c r="N95" s="1" t="s">
        <v>360</v>
      </c>
      <c r="O95" s="35" t="s">
        <v>502</v>
      </c>
      <c r="P95" s="36">
        <v>97014049394</v>
      </c>
      <c r="Q95" s="33" t="s">
        <v>6</v>
      </c>
      <c r="R95" s="37">
        <v>31</v>
      </c>
      <c r="S95" s="2">
        <f t="shared" si="2"/>
        <v>550</v>
      </c>
      <c r="T95" s="2">
        <f t="shared" si="3"/>
        <v>17050</v>
      </c>
      <c r="U95" s="33"/>
      <c r="V95" s="38" t="s">
        <v>4</v>
      </c>
      <c r="W95" s="39">
        <v>45433</v>
      </c>
      <c r="X95" s="39" t="s">
        <v>360</v>
      </c>
    </row>
    <row r="96" spans="1:24" ht="15.6" x14ac:dyDescent="0.3">
      <c r="A96" s="29">
        <v>27</v>
      </c>
      <c r="B96" s="29">
        <v>6982</v>
      </c>
      <c r="C96" s="30" t="s">
        <v>0</v>
      </c>
      <c r="D96" s="31" t="s">
        <v>503</v>
      </c>
      <c r="E96" s="32" t="s">
        <v>504</v>
      </c>
      <c r="F96" s="2" t="s">
        <v>505</v>
      </c>
      <c r="G96" s="2" t="s">
        <v>1</v>
      </c>
      <c r="H96" s="2" t="s">
        <v>506</v>
      </c>
      <c r="I96" s="51">
        <v>331935941128</v>
      </c>
      <c r="J96" s="2" t="s">
        <v>360</v>
      </c>
      <c r="K96" s="2" t="s">
        <v>360</v>
      </c>
      <c r="L96" s="2" t="s">
        <v>360</v>
      </c>
      <c r="M96" s="34" t="s">
        <v>507</v>
      </c>
      <c r="N96" s="1" t="s">
        <v>360</v>
      </c>
      <c r="O96" s="35" t="s">
        <v>502</v>
      </c>
      <c r="P96" s="36">
        <v>97015557578</v>
      </c>
      <c r="Q96" s="33" t="s">
        <v>6</v>
      </c>
      <c r="R96" s="37">
        <v>6</v>
      </c>
      <c r="S96" s="2">
        <f t="shared" si="2"/>
        <v>550</v>
      </c>
      <c r="T96" s="2">
        <f t="shared" si="3"/>
        <v>3300</v>
      </c>
      <c r="U96" s="33"/>
      <c r="V96" s="38" t="s">
        <v>4</v>
      </c>
      <c r="W96" s="39">
        <v>45433</v>
      </c>
      <c r="X96" s="39">
        <v>46237</v>
      </c>
    </row>
    <row r="97" spans="1:24" ht="15.6" x14ac:dyDescent="0.3">
      <c r="A97" s="29">
        <v>28</v>
      </c>
      <c r="B97" s="29">
        <v>6082</v>
      </c>
      <c r="C97" s="30" t="s">
        <v>0</v>
      </c>
      <c r="D97" s="31" t="s">
        <v>508</v>
      </c>
      <c r="E97" s="32">
        <v>38272</v>
      </c>
      <c r="F97" s="2" t="s">
        <v>498</v>
      </c>
      <c r="G97" s="2" t="s">
        <v>1</v>
      </c>
      <c r="H97" s="2" t="s">
        <v>509</v>
      </c>
      <c r="I97" s="51" t="s">
        <v>510</v>
      </c>
      <c r="J97" s="2" t="s">
        <v>360</v>
      </c>
      <c r="K97" s="2" t="s">
        <v>360</v>
      </c>
      <c r="L97" s="2" t="s">
        <v>360</v>
      </c>
      <c r="M97" s="34" t="s">
        <v>360</v>
      </c>
      <c r="N97" s="1" t="s">
        <v>360</v>
      </c>
      <c r="O97" s="35" t="s">
        <v>361</v>
      </c>
      <c r="P97" s="36">
        <v>97014406529</v>
      </c>
      <c r="Q97" s="33" t="s">
        <v>6</v>
      </c>
      <c r="R97" s="37">
        <v>31</v>
      </c>
      <c r="S97" s="2">
        <f t="shared" si="2"/>
        <v>550</v>
      </c>
      <c r="T97" s="2">
        <f t="shared" si="3"/>
        <v>17050</v>
      </c>
      <c r="U97" s="33" t="s">
        <v>360</v>
      </c>
      <c r="V97" s="38" t="s">
        <v>4</v>
      </c>
      <c r="W97" s="39">
        <v>44604</v>
      </c>
      <c r="X97" s="39" t="s">
        <v>360</v>
      </c>
    </row>
    <row r="98" spans="1:24" ht="15.6" x14ac:dyDescent="0.3">
      <c r="A98" s="29">
        <v>29</v>
      </c>
      <c r="B98" s="29">
        <v>8075</v>
      </c>
      <c r="C98" s="30" t="s">
        <v>0</v>
      </c>
      <c r="D98" s="31" t="s">
        <v>511</v>
      </c>
      <c r="E98" s="32">
        <v>36526</v>
      </c>
      <c r="F98" s="2" t="s">
        <v>512</v>
      </c>
      <c r="G98" s="2" t="s">
        <v>1</v>
      </c>
      <c r="H98" s="2" t="s">
        <v>513</v>
      </c>
      <c r="I98" s="33" t="s">
        <v>514</v>
      </c>
      <c r="J98" s="2" t="s">
        <v>360</v>
      </c>
      <c r="K98" s="2" t="s">
        <v>360</v>
      </c>
      <c r="L98" s="2" t="s">
        <v>360</v>
      </c>
      <c r="M98" s="34" t="s">
        <v>515</v>
      </c>
      <c r="N98" s="1" t="s">
        <v>360</v>
      </c>
      <c r="O98" s="35" t="s">
        <v>516</v>
      </c>
      <c r="P98" s="36">
        <v>97017302561</v>
      </c>
      <c r="Q98" s="33" t="s">
        <v>6</v>
      </c>
      <c r="R98" s="37">
        <v>31</v>
      </c>
      <c r="S98" s="2">
        <f t="shared" si="2"/>
        <v>550</v>
      </c>
      <c r="T98" s="2">
        <f t="shared" si="3"/>
        <v>17050</v>
      </c>
      <c r="U98" s="33"/>
      <c r="V98" s="38" t="s">
        <v>4</v>
      </c>
      <c r="W98" s="39">
        <v>46044</v>
      </c>
      <c r="X98" s="52"/>
    </row>
    <row r="99" spans="1:24" ht="15.6" x14ac:dyDescent="0.3">
      <c r="A99" s="29">
        <v>30</v>
      </c>
      <c r="B99" s="29">
        <v>8258</v>
      </c>
      <c r="C99" s="30" t="s">
        <v>0</v>
      </c>
      <c r="D99" s="31" t="s">
        <v>517</v>
      </c>
      <c r="E99" s="32">
        <v>38718</v>
      </c>
      <c r="F99" s="2" t="s">
        <v>518</v>
      </c>
      <c r="G99" s="2" t="s">
        <v>1</v>
      </c>
      <c r="H99" s="2" t="s">
        <v>519</v>
      </c>
      <c r="I99" s="51" t="s">
        <v>520</v>
      </c>
      <c r="J99" s="2"/>
      <c r="K99" s="2"/>
      <c r="L99" s="2"/>
      <c r="M99" s="34" t="s">
        <v>521</v>
      </c>
      <c r="N99" s="1"/>
      <c r="O99" s="35"/>
      <c r="P99" s="36">
        <v>97010514130</v>
      </c>
      <c r="Q99" s="33" t="s">
        <v>6</v>
      </c>
      <c r="R99" s="37">
        <v>31</v>
      </c>
      <c r="S99" s="2">
        <f t="shared" si="2"/>
        <v>550</v>
      </c>
      <c r="T99" s="2">
        <f t="shared" si="3"/>
        <v>17050</v>
      </c>
      <c r="U99" s="33"/>
      <c r="V99" s="38" t="s">
        <v>4</v>
      </c>
      <c r="W99" s="39">
        <v>46160</v>
      </c>
      <c r="X99" s="39"/>
    </row>
    <row r="100" spans="1:24" ht="15.6" x14ac:dyDescent="0.3">
      <c r="A100" s="29">
        <v>31</v>
      </c>
      <c r="B100" s="29">
        <v>7773</v>
      </c>
      <c r="C100" s="30" t="s">
        <v>0</v>
      </c>
      <c r="D100" s="31" t="s">
        <v>522</v>
      </c>
      <c r="E100" s="32">
        <v>38574</v>
      </c>
      <c r="F100" s="2" t="s">
        <v>523</v>
      </c>
      <c r="G100" s="2" t="s">
        <v>1</v>
      </c>
      <c r="H100" s="2" t="s">
        <v>524</v>
      </c>
      <c r="I100" s="33" t="s">
        <v>525</v>
      </c>
      <c r="J100" s="2">
        <v>0</v>
      </c>
      <c r="K100" s="2">
        <v>0</v>
      </c>
      <c r="L100" s="2">
        <v>0</v>
      </c>
      <c r="M100" s="34" t="s">
        <v>526</v>
      </c>
      <c r="N100" s="1">
        <v>0</v>
      </c>
      <c r="O100" s="35" t="s">
        <v>30</v>
      </c>
      <c r="P100" s="36">
        <v>97015608401</v>
      </c>
      <c r="Q100" s="33" t="s">
        <v>6</v>
      </c>
      <c r="R100" s="37">
        <v>3</v>
      </c>
      <c r="S100" s="2">
        <f t="shared" si="2"/>
        <v>550</v>
      </c>
      <c r="T100" s="2">
        <f t="shared" si="3"/>
        <v>1650</v>
      </c>
      <c r="U100" s="33"/>
      <c r="V100" s="38" t="s">
        <v>4</v>
      </c>
      <c r="W100" s="39">
        <v>45982</v>
      </c>
      <c r="X100" s="39">
        <v>46237</v>
      </c>
    </row>
    <row r="101" spans="1:24" ht="15.6" x14ac:dyDescent="0.3">
      <c r="A101" s="29">
        <v>32</v>
      </c>
      <c r="B101" s="29">
        <v>8142</v>
      </c>
      <c r="C101" s="30" t="s">
        <v>0</v>
      </c>
      <c r="D101" s="31" t="s">
        <v>527</v>
      </c>
      <c r="E101" s="32">
        <v>30843</v>
      </c>
      <c r="F101" s="2" t="s">
        <v>528</v>
      </c>
      <c r="G101" s="2" t="s">
        <v>1</v>
      </c>
      <c r="H101" s="2" t="s">
        <v>529</v>
      </c>
      <c r="I101" s="33" t="s">
        <v>530</v>
      </c>
      <c r="J101" s="2"/>
      <c r="K101" s="2"/>
      <c r="L101" s="2"/>
      <c r="M101" s="34" t="s">
        <v>531</v>
      </c>
      <c r="N101" s="1"/>
      <c r="O101" s="35"/>
      <c r="P101" s="36">
        <v>97005967278</v>
      </c>
      <c r="Q101" s="33" t="s">
        <v>6</v>
      </c>
      <c r="R101" s="37">
        <v>31</v>
      </c>
      <c r="S101" s="2">
        <f t="shared" si="2"/>
        <v>550</v>
      </c>
      <c r="T101" s="2">
        <f t="shared" si="3"/>
        <v>17050</v>
      </c>
      <c r="U101" s="33"/>
      <c r="V101" s="38" t="s">
        <v>4</v>
      </c>
      <c r="W101" s="39">
        <v>46079</v>
      </c>
      <c r="X101" s="39"/>
    </row>
    <row r="102" spans="1:24" ht="15.6" x14ac:dyDescent="0.3">
      <c r="A102" s="29">
        <v>33</v>
      </c>
      <c r="B102" s="29">
        <v>8143</v>
      </c>
      <c r="C102" s="30" t="s">
        <v>0</v>
      </c>
      <c r="D102" s="31" t="s">
        <v>532</v>
      </c>
      <c r="E102" s="32">
        <v>39448</v>
      </c>
      <c r="F102" s="2" t="s">
        <v>533</v>
      </c>
      <c r="G102" s="2" t="s">
        <v>1</v>
      </c>
      <c r="H102" s="2" t="s">
        <v>534</v>
      </c>
      <c r="I102" s="33" t="s">
        <v>535</v>
      </c>
      <c r="J102" s="2"/>
      <c r="K102" s="2"/>
      <c r="L102" s="2"/>
      <c r="M102" s="34" t="s">
        <v>536</v>
      </c>
      <c r="N102" s="1"/>
      <c r="O102" s="35"/>
      <c r="P102" s="36">
        <v>97017359358</v>
      </c>
      <c r="Q102" s="33" t="s">
        <v>6</v>
      </c>
      <c r="R102" s="37">
        <v>31</v>
      </c>
      <c r="S102" s="2">
        <f t="shared" si="2"/>
        <v>550</v>
      </c>
      <c r="T102" s="2">
        <f t="shared" si="3"/>
        <v>17050</v>
      </c>
      <c r="U102" s="33"/>
      <c r="V102" s="38" t="s">
        <v>4</v>
      </c>
      <c r="W102" s="39">
        <v>46079</v>
      </c>
      <c r="X102" s="39"/>
    </row>
    <row r="103" spans="1:24" ht="15.6" x14ac:dyDescent="0.3">
      <c r="A103" s="29">
        <v>34</v>
      </c>
      <c r="B103" s="29">
        <v>8450</v>
      </c>
      <c r="C103" s="30" t="s">
        <v>0</v>
      </c>
      <c r="D103" s="31" t="s">
        <v>537</v>
      </c>
      <c r="E103" s="32">
        <v>38473</v>
      </c>
      <c r="F103" s="2" t="s">
        <v>538</v>
      </c>
      <c r="G103" s="2" t="s">
        <v>1</v>
      </c>
      <c r="H103" s="2" t="s">
        <v>539</v>
      </c>
      <c r="I103" s="33" t="s">
        <v>540</v>
      </c>
      <c r="J103" s="2"/>
      <c r="K103" s="2"/>
      <c r="L103" s="2"/>
      <c r="M103" s="34" t="s">
        <v>541</v>
      </c>
      <c r="N103" s="1"/>
      <c r="O103" s="35"/>
      <c r="P103" s="36">
        <v>97013119581</v>
      </c>
      <c r="Q103" s="33" t="s">
        <v>6</v>
      </c>
      <c r="R103" s="37">
        <v>31</v>
      </c>
      <c r="S103" s="2">
        <f t="shared" si="2"/>
        <v>550</v>
      </c>
      <c r="T103" s="2">
        <f t="shared" si="3"/>
        <v>17050</v>
      </c>
      <c r="U103" s="33"/>
      <c r="V103" s="38"/>
      <c r="W103" s="39">
        <v>46195</v>
      </c>
      <c r="X103" s="39"/>
    </row>
    <row r="104" spans="1:24" ht="15.6" x14ac:dyDescent="0.3">
      <c r="A104" s="29">
        <v>35</v>
      </c>
      <c r="B104" s="29">
        <v>8451</v>
      </c>
      <c r="C104" s="30" t="s">
        <v>0</v>
      </c>
      <c r="D104" s="31" t="s">
        <v>449</v>
      </c>
      <c r="E104" s="32">
        <v>35796</v>
      </c>
      <c r="F104" s="2" t="s">
        <v>542</v>
      </c>
      <c r="G104" s="2" t="s">
        <v>1</v>
      </c>
      <c r="H104" s="2" t="s">
        <v>543</v>
      </c>
      <c r="I104" s="33" t="s">
        <v>544</v>
      </c>
      <c r="J104" s="2"/>
      <c r="K104" s="2"/>
      <c r="L104" s="2"/>
      <c r="M104" s="34" t="s">
        <v>545</v>
      </c>
      <c r="N104" s="1"/>
      <c r="O104" s="35"/>
      <c r="P104" s="36">
        <v>97017652969</v>
      </c>
      <c r="Q104" s="33" t="s">
        <v>6</v>
      </c>
      <c r="R104" s="37">
        <v>31</v>
      </c>
      <c r="S104" s="2">
        <f t="shared" si="2"/>
        <v>550</v>
      </c>
      <c r="T104" s="2">
        <f t="shared" si="3"/>
        <v>17050</v>
      </c>
      <c r="U104" s="33"/>
      <c r="V104" s="38"/>
      <c r="W104" s="39">
        <v>46195</v>
      </c>
      <c r="X104" s="39"/>
    </row>
    <row r="105" spans="1:24" ht="15.6" x14ac:dyDescent="0.3">
      <c r="A105" s="29">
        <v>36</v>
      </c>
      <c r="B105" s="29">
        <v>8452</v>
      </c>
      <c r="C105" s="30" t="s">
        <v>0</v>
      </c>
      <c r="D105" s="31" t="s">
        <v>546</v>
      </c>
      <c r="E105" s="32">
        <v>39741</v>
      </c>
      <c r="F105" s="2" t="s">
        <v>547</v>
      </c>
      <c r="G105" s="2" t="s">
        <v>1</v>
      </c>
      <c r="H105" s="2" t="s">
        <v>548</v>
      </c>
      <c r="I105" s="33" t="s">
        <v>549</v>
      </c>
      <c r="J105" s="2"/>
      <c r="K105" s="2"/>
      <c r="L105" s="2"/>
      <c r="M105" s="34" t="s">
        <v>550</v>
      </c>
      <c r="N105" s="1"/>
      <c r="O105" s="35"/>
      <c r="P105" s="36">
        <v>97017652629</v>
      </c>
      <c r="Q105" s="33" t="s">
        <v>6</v>
      </c>
      <c r="R105" s="37">
        <v>31</v>
      </c>
      <c r="S105" s="2">
        <f t="shared" si="2"/>
        <v>550</v>
      </c>
      <c r="T105" s="2">
        <f t="shared" si="3"/>
        <v>17050</v>
      </c>
      <c r="U105" s="33"/>
      <c r="V105" s="38"/>
      <c r="W105" s="39">
        <v>46195</v>
      </c>
      <c r="X105" s="39"/>
    </row>
    <row r="106" spans="1:24" ht="15.6" x14ac:dyDescent="0.3">
      <c r="A106" s="29">
        <v>37</v>
      </c>
      <c r="B106" s="29">
        <v>8453</v>
      </c>
      <c r="C106" s="30" t="s">
        <v>0</v>
      </c>
      <c r="D106" s="31" t="s">
        <v>551</v>
      </c>
      <c r="E106" s="32">
        <v>38822</v>
      </c>
      <c r="F106" s="2" t="s">
        <v>552</v>
      </c>
      <c r="G106" s="2" t="s">
        <v>1</v>
      </c>
      <c r="H106" s="2" t="s">
        <v>553</v>
      </c>
      <c r="I106" s="33" t="s">
        <v>554</v>
      </c>
      <c r="J106" s="2"/>
      <c r="K106" s="2"/>
      <c r="L106" s="2"/>
      <c r="M106" s="34" t="s">
        <v>555</v>
      </c>
      <c r="N106" s="1"/>
      <c r="O106" s="35"/>
      <c r="P106" s="36">
        <v>97017653327</v>
      </c>
      <c r="Q106" s="33" t="s">
        <v>6</v>
      </c>
      <c r="R106" s="37">
        <v>31</v>
      </c>
      <c r="S106" s="2">
        <f t="shared" si="2"/>
        <v>550</v>
      </c>
      <c r="T106" s="2">
        <f t="shared" si="3"/>
        <v>17050</v>
      </c>
      <c r="U106" s="33"/>
      <c r="V106" s="38"/>
      <c r="W106" s="39">
        <v>46195</v>
      </c>
      <c r="X106" s="39"/>
    </row>
    <row r="107" spans="1:24" ht="15.6" x14ac:dyDescent="0.3">
      <c r="A107" s="29">
        <v>38</v>
      </c>
      <c r="B107" s="29">
        <v>8454</v>
      </c>
      <c r="C107" s="30" t="s">
        <v>0</v>
      </c>
      <c r="D107" s="31" t="s">
        <v>556</v>
      </c>
      <c r="E107" s="32">
        <v>39083</v>
      </c>
      <c r="F107" s="2" t="s">
        <v>557</v>
      </c>
      <c r="G107" s="2" t="s">
        <v>1</v>
      </c>
      <c r="H107" s="2" t="s">
        <v>558</v>
      </c>
      <c r="I107" s="33" t="s">
        <v>559</v>
      </c>
      <c r="J107" s="2"/>
      <c r="K107" s="2"/>
      <c r="L107" s="2"/>
      <c r="M107" s="34" t="s">
        <v>560</v>
      </c>
      <c r="N107" s="1"/>
      <c r="O107" s="35"/>
      <c r="P107" s="36">
        <v>97014961924</v>
      </c>
      <c r="Q107" s="33" t="s">
        <v>6</v>
      </c>
      <c r="R107" s="37">
        <v>31</v>
      </c>
      <c r="S107" s="2">
        <f t="shared" si="2"/>
        <v>550</v>
      </c>
      <c r="T107" s="2">
        <f t="shared" si="3"/>
        <v>17050</v>
      </c>
      <c r="U107" s="33"/>
      <c r="V107" s="38"/>
      <c r="W107" s="39">
        <v>46195</v>
      </c>
      <c r="X107" s="39"/>
    </row>
    <row r="108" spans="1:24" ht="15.6" x14ac:dyDescent="0.3">
      <c r="A108" s="29">
        <v>39</v>
      </c>
      <c r="B108" s="29">
        <v>8455</v>
      </c>
      <c r="C108" s="30" t="s">
        <v>0</v>
      </c>
      <c r="D108" s="31" t="s">
        <v>561</v>
      </c>
      <c r="E108" s="32">
        <v>39083</v>
      </c>
      <c r="F108" s="2" t="s">
        <v>562</v>
      </c>
      <c r="G108" s="2" t="s">
        <v>1</v>
      </c>
      <c r="H108" s="2" t="s">
        <v>563</v>
      </c>
      <c r="I108" s="33" t="s">
        <v>564</v>
      </c>
      <c r="J108" s="2"/>
      <c r="K108" s="2"/>
      <c r="L108" s="2"/>
      <c r="M108" s="34" t="s">
        <v>565</v>
      </c>
      <c r="N108" s="1"/>
      <c r="O108" s="35"/>
      <c r="P108" s="36">
        <v>97017653101</v>
      </c>
      <c r="Q108" s="33" t="s">
        <v>6</v>
      </c>
      <c r="R108" s="37">
        <v>31</v>
      </c>
      <c r="S108" s="2">
        <f t="shared" si="2"/>
        <v>550</v>
      </c>
      <c r="T108" s="2">
        <f t="shared" si="3"/>
        <v>17050</v>
      </c>
      <c r="U108" s="33"/>
      <c r="V108" s="38"/>
      <c r="W108" s="39">
        <v>46195</v>
      </c>
      <c r="X108" s="39"/>
    </row>
    <row r="109" spans="1:24" ht="15.6" x14ac:dyDescent="0.3">
      <c r="A109" s="40">
        <v>40</v>
      </c>
      <c r="B109" s="40">
        <v>8456</v>
      </c>
      <c r="C109" s="41" t="s">
        <v>0</v>
      </c>
      <c r="D109" s="42" t="s">
        <v>566</v>
      </c>
      <c r="E109" s="43">
        <v>36161</v>
      </c>
      <c r="F109" s="9" t="s">
        <v>567</v>
      </c>
      <c r="G109" s="9" t="s">
        <v>1</v>
      </c>
      <c r="H109" s="9" t="s">
        <v>568</v>
      </c>
      <c r="I109" s="44" t="s">
        <v>569</v>
      </c>
      <c r="J109" s="9"/>
      <c r="K109" s="9"/>
      <c r="L109" s="9"/>
      <c r="M109" s="45" t="s">
        <v>570</v>
      </c>
      <c r="N109" s="7"/>
      <c r="O109" s="46"/>
      <c r="P109" s="47">
        <v>97010848845</v>
      </c>
      <c r="Q109" s="44" t="s">
        <v>6</v>
      </c>
      <c r="R109" s="48">
        <v>31</v>
      </c>
      <c r="S109" s="9">
        <f t="shared" si="2"/>
        <v>550</v>
      </c>
      <c r="T109" s="9">
        <f t="shared" si="3"/>
        <v>17050</v>
      </c>
      <c r="U109" s="44">
        <f>SUM(T90:T109)</f>
        <v>326330</v>
      </c>
      <c r="V109" s="49"/>
      <c r="W109" s="50">
        <v>46195</v>
      </c>
      <c r="X109" s="50"/>
    </row>
    <row r="110" spans="1:24" ht="15.6" x14ac:dyDescent="0.3">
      <c r="A110" s="29">
        <v>41</v>
      </c>
      <c r="B110" s="29">
        <v>8513</v>
      </c>
      <c r="C110" s="30" t="s">
        <v>9</v>
      </c>
      <c r="D110" s="31" t="s">
        <v>571</v>
      </c>
      <c r="E110" s="32">
        <v>34919</v>
      </c>
      <c r="F110" s="2" t="s">
        <v>572</v>
      </c>
      <c r="G110" s="2" t="s">
        <v>1</v>
      </c>
      <c r="H110" s="2" t="s">
        <v>573</v>
      </c>
      <c r="I110" s="33" t="s">
        <v>574</v>
      </c>
      <c r="J110" s="2"/>
      <c r="K110" s="2"/>
      <c r="L110" s="2"/>
      <c r="M110" s="34">
        <v>92516599741</v>
      </c>
      <c r="N110" s="1"/>
      <c r="O110" s="35" t="s">
        <v>575</v>
      </c>
      <c r="P110" s="36">
        <v>45445593001</v>
      </c>
      <c r="Q110" s="33" t="s">
        <v>413</v>
      </c>
      <c r="R110" s="37">
        <v>19</v>
      </c>
      <c r="S110" s="2">
        <f t="shared" si="2"/>
        <v>770</v>
      </c>
      <c r="T110" s="2">
        <f t="shared" si="3"/>
        <v>14630</v>
      </c>
      <c r="U110" s="33"/>
      <c r="V110" s="38"/>
      <c r="W110" s="39">
        <v>46235</v>
      </c>
      <c r="X110" s="39"/>
    </row>
    <row r="111" spans="1:24" ht="15.6" x14ac:dyDescent="0.3">
      <c r="A111" s="29">
        <v>42</v>
      </c>
      <c r="B111" s="29">
        <v>8514</v>
      </c>
      <c r="C111" s="30" t="s">
        <v>0</v>
      </c>
      <c r="D111" s="31" t="s">
        <v>576</v>
      </c>
      <c r="E111" s="32">
        <v>29954</v>
      </c>
      <c r="F111" s="2" t="s">
        <v>577</v>
      </c>
      <c r="G111" s="2" t="s">
        <v>22</v>
      </c>
      <c r="H111" s="2" t="s">
        <v>578</v>
      </c>
      <c r="I111" s="33" t="s">
        <v>579</v>
      </c>
      <c r="J111" s="2"/>
      <c r="K111" s="2"/>
      <c r="L111" s="2"/>
      <c r="M111" s="34"/>
      <c r="N111" s="1"/>
      <c r="O111" s="35" t="s">
        <v>575</v>
      </c>
      <c r="P111" s="53" t="s">
        <v>580</v>
      </c>
      <c r="Q111" s="33" t="s">
        <v>581</v>
      </c>
      <c r="R111" s="37">
        <v>19</v>
      </c>
      <c r="S111" s="2">
        <f t="shared" si="2"/>
        <v>550</v>
      </c>
      <c r="T111" s="2">
        <f t="shared" si="3"/>
        <v>10450</v>
      </c>
      <c r="U111" s="33"/>
      <c r="V111" s="38"/>
      <c r="W111" s="39">
        <v>46235</v>
      </c>
      <c r="X111" s="39"/>
    </row>
    <row r="112" spans="1:24" ht="15.6" x14ac:dyDescent="0.3">
      <c r="A112" s="29">
        <v>43</v>
      </c>
      <c r="B112" s="29">
        <v>8515</v>
      </c>
      <c r="C112" s="30" t="s">
        <v>0</v>
      </c>
      <c r="D112" s="31" t="s">
        <v>582</v>
      </c>
      <c r="E112" s="32">
        <v>35683</v>
      </c>
      <c r="F112" s="2" t="s">
        <v>583</v>
      </c>
      <c r="G112" s="2" t="s">
        <v>1</v>
      </c>
      <c r="H112" s="2" t="s">
        <v>584</v>
      </c>
      <c r="I112" s="33" t="s">
        <v>585</v>
      </c>
      <c r="J112" s="2"/>
      <c r="K112" s="2"/>
      <c r="L112" s="2"/>
      <c r="M112" s="34"/>
      <c r="N112" s="1"/>
      <c r="O112" s="35" t="s">
        <v>575</v>
      </c>
      <c r="P112" s="36">
        <v>97010706490</v>
      </c>
      <c r="Q112" s="33" t="s">
        <v>6</v>
      </c>
      <c r="R112" s="37">
        <v>8</v>
      </c>
      <c r="S112" s="2">
        <f t="shared" si="2"/>
        <v>550</v>
      </c>
      <c r="T112" s="2">
        <f t="shared" si="3"/>
        <v>4400</v>
      </c>
      <c r="U112" s="33">
        <f>SUM(T110:T112)</f>
        <v>29480</v>
      </c>
      <c r="V112" s="38"/>
      <c r="W112" s="39">
        <v>46246</v>
      </c>
      <c r="X112" s="39"/>
    </row>
  </sheetData>
  <conditionalFormatting sqref="J2:N69">
    <cfRule type="containsBlanks" dxfId="45" priority="44">
      <formula>LEN(TRIM(J2))=0</formula>
    </cfRule>
  </conditionalFormatting>
  <conditionalFormatting sqref="P2:P69">
    <cfRule type="duplicateValues" dxfId="44" priority="46"/>
  </conditionalFormatting>
  <conditionalFormatting sqref="S2:T69">
    <cfRule type="containsBlanks" dxfId="43" priority="45">
      <formula>LEN(TRIM(S2))=0</formula>
    </cfRule>
  </conditionalFormatting>
  <conditionalFormatting sqref="M70:O112">
    <cfRule type="containsBlanks" dxfId="42" priority="1">
      <formula>LEN(TRIM(M70))=0</formula>
    </cfRule>
  </conditionalFormatting>
  <conditionalFormatting sqref="P70">
    <cfRule type="duplicateValues" dxfId="41" priority="43"/>
  </conditionalFormatting>
  <conditionalFormatting sqref="P71">
    <cfRule type="duplicateValues" dxfId="40" priority="42"/>
  </conditionalFormatting>
  <conditionalFormatting sqref="P72">
    <cfRule type="duplicateValues" dxfId="39" priority="41"/>
  </conditionalFormatting>
  <conditionalFormatting sqref="P73">
    <cfRule type="duplicateValues" dxfId="38" priority="40"/>
  </conditionalFormatting>
  <conditionalFormatting sqref="P74">
    <cfRule type="duplicateValues" dxfId="37" priority="39"/>
  </conditionalFormatting>
  <conditionalFormatting sqref="P75">
    <cfRule type="duplicateValues" dxfId="36" priority="38"/>
  </conditionalFormatting>
  <conditionalFormatting sqref="P76">
    <cfRule type="duplicateValues" dxfId="35" priority="37"/>
  </conditionalFormatting>
  <conditionalFormatting sqref="P77">
    <cfRule type="duplicateValues" dxfId="34" priority="36"/>
  </conditionalFormatting>
  <conditionalFormatting sqref="P78">
    <cfRule type="duplicateValues" dxfId="33" priority="35"/>
  </conditionalFormatting>
  <conditionalFormatting sqref="P79">
    <cfRule type="duplicateValues" dxfId="32" priority="34"/>
  </conditionalFormatting>
  <conditionalFormatting sqref="P80">
    <cfRule type="duplicateValues" dxfId="31" priority="33"/>
  </conditionalFormatting>
  <conditionalFormatting sqref="P81">
    <cfRule type="duplicateValues" dxfId="30" priority="32"/>
  </conditionalFormatting>
  <conditionalFormatting sqref="P82">
    <cfRule type="duplicateValues" dxfId="29" priority="31"/>
  </conditionalFormatting>
  <conditionalFormatting sqref="P83">
    <cfRule type="duplicateValues" dxfId="28" priority="30"/>
  </conditionalFormatting>
  <conditionalFormatting sqref="P84">
    <cfRule type="duplicateValues" dxfId="27" priority="29"/>
  </conditionalFormatting>
  <conditionalFormatting sqref="P85">
    <cfRule type="duplicateValues" dxfId="26" priority="28"/>
  </conditionalFormatting>
  <conditionalFormatting sqref="P86">
    <cfRule type="duplicateValues" dxfId="25" priority="27"/>
  </conditionalFormatting>
  <conditionalFormatting sqref="P87">
    <cfRule type="duplicateValues" dxfId="24" priority="26"/>
  </conditionalFormatting>
  <conditionalFormatting sqref="P88">
    <cfRule type="duplicateValues" dxfId="23" priority="25"/>
  </conditionalFormatting>
  <conditionalFormatting sqref="P89">
    <cfRule type="duplicateValues" dxfId="22" priority="24"/>
  </conditionalFormatting>
  <conditionalFormatting sqref="P90">
    <cfRule type="duplicateValues" dxfId="21" priority="23"/>
  </conditionalFormatting>
  <conditionalFormatting sqref="P91">
    <cfRule type="duplicateValues" dxfId="20" priority="22"/>
  </conditionalFormatting>
  <conditionalFormatting sqref="P92">
    <cfRule type="duplicateValues" dxfId="19" priority="21"/>
  </conditionalFormatting>
  <conditionalFormatting sqref="P93">
    <cfRule type="duplicateValues" dxfId="18" priority="20"/>
  </conditionalFormatting>
  <conditionalFormatting sqref="P94">
    <cfRule type="duplicateValues" dxfId="17" priority="3"/>
  </conditionalFormatting>
  <conditionalFormatting sqref="P95">
    <cfRule type="duplicateValues" dxfId="16" priority="19"/>
  </conditionalFormatting>
  <conditionalFormatting sqref="P96">
    <cfRule type="duplicateValues" dxfId="15" priority="18"/>
  </conditionalFormatting>
  <conditionalFormatting sqref="P97">
    <cfRule type="duplicateValues" dxfId="14" priority="17"/>
  </conditionalFormatting>
  <conditionalFormatting sqref="P98">
    <cfRule type="duplicateValues" dxfId="13" priority="16"/>
  </conditionalFormatting>
  <conditionalFormatting sqref="P99">
    <cfRule type="duplicateValues" dxfId="12" priority="15"/>
  </conditionalFormatting>
  <conditionalFormatting sqref="P100">
    <cfRule type="duplicateValues" dxfId="11" priority="14"/>
  </conditionalFormatting>
  <conditionalFormatting sqref="P101">
    <cfRule type="duplicateValues" dxfId="10" priority="13"/>
  </conditionalFormatting>
  <conditionalFormatting sqref="P102">
    <cfRule type="duplicateValues" dxfId="9" priority="12"/>
  </conditionalFormatting>
  <conditionalFormatting sqref="P103">
    <cfRule type="duplicateValues" dxfId="8" priority="11"/>
  </conditionalFormatting>
  <conditionalFormatting sqref="P104">
    <cfRule type="duplicateValues" dxfId="7" priority="10"/>
  </conditionalFormatting>
  <conditionalFormatting sqref="P105">
    <cfRule type="duplicateValues" dxfId="6" priority="9"/>
  </conditionalFormatting>
  <conditionalFormatting sqref="P106">
    <cfRule type="duplicateValues" dxfId="5" priority="8"/>
  </conditionalFormatting>
  <conditionalFormatting sqref="P107">
    <cfRule type="duplicateValues" dxfId="4" priority="7"/>
  </conditionalFormatting>
  <conditionalFormatting sqref="P108">
    <cfRule type="duplicateValues" dxfId="3" priority="6"/>
  </conditionalFormatting>
  <conditionalFormatting sqref="P109">
    <cfRule type="duplicateValues" dxfId="2" priority="5"/>
  </conditionalFormatting>
  <conditionalFormatting sqref="P110:P112">
    <cfRule type="duplicateValues" dxfId="1" priority="4"/>
  </conditionalFormatting>
  <conditionalFormatting sqref="S70:T112">
    <cfRule type="containsBlanks" dxfId="0" priority="2">
      <formula>LEN(TRIM(S70))=0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 LALNEIHKIMA</dc:creator>
  <cp:lastModifiedBy>AB LALNEIHKIMA</cp:lastModifiedBy>
  <cp:lastPrinted>2026-08-22T12:17:51Z</cp:lastPrinted>
  <dcterms:created xsi:type="dcterms:W3CDTF">2026-06-19T13:56:20Z</dcterms:created>
  <dcterms:modified xsi:type="dcterms:W3CDTF">2026-08-29T12:10:23Z</dcterms:modified>
</cp:coreProperties>
</file>